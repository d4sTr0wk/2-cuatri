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rub\Desktop\Ruben\UMA\Optativas\Modelado y Simulación de Sistemas\Modelado mio\Arena\Practica 2\"/>
    </mc:Choice>
  </mc:AlternateContent>
  <xr:revisionPtr revIDLastSave="0" documentId="13_ncr:1_{4822B454-5232-4DC1-BC6D-1F994EFE7022}" xr6:coauthVersionLast="47" xr6:coauthVersionMax="47" xr10:uidLastSave="{00000000-0000-0000-0000-000000000000}"/>
  <bookViews>
    <workbookView xWindow="1848" yWindow="1848" windowWidth="17280" windowHeight="8964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ContinuousTimeStatsByRep!$A$1:$L$171</definedName>
    <definedName name="ExternalData_1" localSheetId="4" hidden="1">CounterStatsByRep!$A$1:$G$2</definedName>
    <definedName name="ExternalData_1" localSheetId="2" hidden="1">DiscreteTimeStatsByRep!$A$1:$K$311</definedName>
    <definedName name="ExternalData_1" localSheetId="6" hidden="1">FrequencyStatsByRep!$A$1:$J$2</definedName>
    <definedName name="ExternalData_1" localSheetId="5" hidden="1">OutputStatsByRep!$A$1:$H$171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/>
  <c r="L20" i="20" a="1"/>
  <c r="L20" i="20" s="1"/>
  <c r="L21" i="20" a="1"/>
  <c r="L21" i="20" s="1"/>
  <c r="L22" i="20" a="1"/>
  <c r="L22" i="20" s="1"/>
  <c r="L23" i="20" a="1"/>
  <c r="L23" i="20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N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N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/>
  <c r="L81" i="20" a="1"/>
  <c r="L81" i="20" s="1"/>
  <c r="L82" i="20" a="1"/>
  <c r="L82" i="20" s="1"/>
  <c r="L83" i="20" a="1"/>
  <c r="L83" i="20" s="1"/>
  <c r="L84" i="20" a="1"/>
  <c r="L84" i="20" s="1"/>
  <c r="N84" i="20" s="1"/>
  <c r="L85" i="20" a="1"/>
  <c r="L85" i="20" s="1"/>
  <c r="L86" i="20" a="1"/>
  <c r="L86" i="20"/>
  <c r="L87" i="20" a="1"/>
  <c r="L87" i="20" s="1"/>
  <c r="L88" i="20" a="1"/>
  <c r="L88" i="20" s="1"/>
  <c r="L89" i="20" a="1"/>
  <c r="L89" i="20" s="1"/>
  <c r="L90" i="20" a="1"/>
  <c r="L90" i="20" s="1"/>
  <c r="L91" i="20" a="1"/>
  <c r="L91" i="20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/>
  <c r="L119" i="20" a="1"/>
  <c r="L119" i="20" s="1"/>
  <c r="L120" i="20" a="1"/>
  <c r="L120" i="20" s="1"/>
  <c r="L121" i="20" a="1"/>
  <c r="L121" i="20"/>
  <c r="L122" i="20" a="1"/>
  <c r="L122" i="20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/>
  <c r="L131" i="20" a="1"/>
  <c r="L131" i="20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/>
  <c r="L171" i="20" a="1"/>
  <c r="L171" i="20" s="1"/>
  <c r="M2" i="20" a="1"/>
  <c r="M2" i="20"/>
  <c r="N2" i="20" s="1"/>
  <c r="M3" i="20" a="1"/>
  <c r="M3" i="20" s="1"/>
  <c r="N3" i="20" s="1"/>
  <c r="M4" i="20" a="1"/>
  <c r="M4" i="20"/>
  <c r="N4" i="20" s="1"/>
  <c r="M5" i="20" a="1"/>
  <c r="M5" i="20"/>
  <c r="M6" i="20" a="1"/>
  <c r="M6" i="20" s="1"/>
  <c r="N6" i="20" s="1"/>
  <c r="M7" i="20" a="1"/>
  <c r="M7" i="20" s="1"/>
  <c r="N7" i="20" s="1"/>
  <c r="M8" i="20" a="1"/>
  <c r="M8" i="20" s="1"/>
  <c r="M9" i="20" a="1"/>
  <c r="M9" i="20" s="1"/>
  <c r="N9" i="20" s="1"/>
  <c r="M10" i="20" a="1"/>
  <c r="M10" i="20" s="1"/>
  <c r="N10" i="20" s="1"/>
  <c r="M11" i="20" a="1"/>
  <c r="M11" i="20"/>
  <c r="M12" i="20" a="1"/>
  <c r="M12" i="20" s="1"/>
  <c r="M13" i="20" a="1"/>
  <c r="M13" i="20"/>
  <c r="N13" i="20" s="1"/>
  <c r="M14" i="20" a="1"/>
  <c r="M14" i="20" s="1"/>
  <c r="M15" i="20" a="1"/>
  <c r="M15" i="20" s="1"/>
  <c r="N15" i="20" s="1"/>
  <c r="M16" i="20" a="1"/>
  <c r="M16" i="20" s="1"/>
  <c r="N16" i="20" s="1"/>
  <c r="M17" i="20" a="1"/>
  <c r="M17" i="20" s="1"/>
  <c r="N17" i="20" s="1"/>
  <c r="M18" i="20" a="1"/>
  <c r="M18" i="20" s="1"/>
  <c r="N18" i="20" s="1"/>
  <c r="M19" i="20" a="1"/>
  <c r="M19" i="20" s="1"/>
  <c r="N19" i="20" s="1"/>
  <c r="M20" i="20" a="1"/>
  <c r="M20" i="20" s="1"/>
  <c r="N20" i="20" s="1"/>
  <c r="M21" i="20" a="1"/>
  <c r="M21" i="20" s="1"/>
  <c r="N21" i="20" s="1"/>
  <c r="M22" i="20" a="1"/>
  <c r="M22" i="20" s="1"/>
  <c r="N22" i="20" s="1"/>
  <c r="M23" i="20" a="1"/>
  <c r="M23" i="20" s="1"/>
  <c r="N23" i="20" s="1"/>
  <c r="M24" i="20" a="1"/>
  <c r="M24" i="20" s="1"/>
  <c r="M25" i="20" a="1"/>
  <c r="M25" i="20" s="1"/>
  <c r="N25" i="20" s="1"/>
  <c r="M26" i="20" a="1"/>
  <c r="M26" i="20" s="1"/>
  <c r="N26" i="20" s="1"/>
  <c r="M27" i="20" a="1"/>
  <c r="M27" i="20" s="1"/>
  <c r="N27" i="20" s="1"/>
  <c r="M28" i="20" a="1"/>
  <c r="M28" i="20" s="1"/>
  <c r="N28" i="20" s="1"/>
  <c r="M29" i="20" a="1"/>
  <c r="M29" i="20"/>
  <c r="M30" i="20" a="1"/>
  <c r="M30" i="20" s="1"/>
  <c r="M31" i="20" a="1"/>
  <c r="M31" i="20"/>
  <c r="N31" i="20" s="1"/>
  <c r="M32" i="20" a="1"/>
  <c r="M32" i="20" s="1"/>
  <c r="N32" i="20" s="1"/>
  <c r="M33" i="20" a="1"/>
  <c r="M33" i="20" s="1"/>
  <c r="N33" i="20" s="1"/>
  <c r="M34" i="20" a="1"/>
  <c r="M34" i="20"/>
  <c r="N34" i="20" s="1"/>
  <c r="M35" i="20" a="1"/>
  <c r="M35" i="20" s="1"/>
  <c r="N35" i="20" s="1"/>
  <c r="M36" i="20" a="1"/>
  <c r="M36" i="20" s="1"/>
  <c r="M37" i="20" a="1"/>
  <c r="M37" i="20" s="1"/>
  <c r="M38" i="20" a="1"/>
  <c r="M38" i="20"/>
  <c r="N38" i="20" s="1"/>
  <c r="M39" i="20" a="1"/>
  <c r="M39" i="20" s="1"/>
  <c r="N39" i="20" s="1"/>
  <c r="M40" i="20" a="1"/>
  <c r="M40" i="20"/>
  <c r="M41" i="20" a="1"/>
  <c r="M41" i="20"/>
  <c r="M42" i="20" a="1"/>
  <c r="M42" i="20" s="1"/>
  <c r="N42" i="20" s="1"/>
  <c r="M43" i="20" a="1"/>
  <c r="M43" i="20" s="1"/>
  <c r="M44" i="20" a="1"/>
  <c r="M44" i="20" s="1"/>
  <c r="M45" i="20" a="1"/>
  <c r="M45" i="20" s="1"/>
  <c r="N45" i="20" s="1"/>
  <c r="M46" i="20" a="1"/>
  <c r="M46" i="20" s="1"/>
  <c r="N46" i="20" s="1"/>
  <c r="M47" i="20" a="1"/>
  <c r="M47" i="20"/>
  <c r="N47" i="20" s="1"/>
  <c r="M48" i="20" a="1"/>
  <c r="M48" i="20" s="1"/>
  <c r="M49" i="20" a="1"/>
  <c r="M49" i="20"/>
  <c r="N49" i="20" s="1"/>
  <c r="M50" i="20" a="1"/>
  <c r="M50" i="20" s="1"/>
  <c r="M51" i="20" a="1"/>
  <c r="M51" i="20" s="1"/>
  <c r="M52" i="20" a="1"/>
  <c r="M52" i="20" s="1"/>
  <c r="N52" i="20" s="1"/>
  <c r="M53" i="20" a="1"/>
  <c r="M53" i="20" s="1"/>
  <c r="N53" i="20" s="1"/>
  <c r="M54" i="20" a="1"/>
  <c r="M54" i="20" s="1"/>
  <c r="M55" i="20" a="1"/>
  <c r="M55" i="20" s="1"/>
  <c r="N55" i="20" s="1"/>
  <c r="M56" i="20" a="1"/>
  <c r="M56" i="20"/>
  <c r="N56" i="20" s="1"/>
  <c r="M57" i="20" a="1"/>
  <c r="M57" i="20" s="1"/>
  <c r="N57" i="20" s="1"/>
  <c r="M58" i="20" a="1"/>
  <c r="M58" i="20"/>
  <c r="N58" i="20" s="1"/>
  <c r="M59" i="20" a="1"/>
  <c r="M59" i="20" s="1"/>
  <c r="N59" i="20" s="1"/>
  <c r="M60" i="20" a="1"/>
  <c r="M60" i="20" s="1"/>
  <c r="N60" i="20" s="1"/>
  <c r="M61" i="20" a="1"/>
  <c r="M61" i="20" s="1"/>
  <c r="N61" i="20" s="1"/>
  <c r="M62" i="20" a="1"/>
  <c r="M62" i="20" s="1"/>
  <c r="N62" i="20" s="1"/>
  <c r="M63" i="20" a="1"/>
  <c r="M63" i="20" s="1"/>
  <c r="N63" i="20" s="1"/>
  <c r="M64" i="20" a="1"/>
  <c r="M64" i="20" s="1"/>
  <c r="N64" i="20" s="1"/>
  <c r="M65" i="20" a="1"/>
  <c r="M65" i="20"/>
  <c r="M66" i="20" a="1"/>
  <c r="M66" i="20" s="1"/>
  <c r="M67" i="20" a="1"/>
  <c r="M67" i="20" s="1"/>
  <c r="N67" i="20" s="1"/>
  <c r="M68" i="20" a="1"/>
  <c r="M68" i="20" s="1"/>
  <c r="N68" i="20" s="1"/>
  <c r="M69" i="20" a="1"/>
  <c r="M69" i="20" s="1"/>
  <c r="N69" i="20" s="1"/>
  <c r="M70" i="20" a="1"/>
  <c r="M70" i="20"/>
  <c r="N70" i="20" s="1"/>
  <c r="M71" i="20" a="1"/>
  <c r="M71" i="20" s="1"/>
  <c r="N71" i="20" s="1"/>
  <c r="M72" i="20" a="1"/>
  <c r="M72" i="20" s="1"/>
  <c r="M73" i="20" a="1"/>
  <c r="M73" i="20" s="1"/>
  <c r="M74" i="20" a="1"/>
  <c r="M74" i="20"/>
  <c r="N74" i="20" s="1"/>
  <c r="M75" i="20" a="1"/>
  <c r="M75" i="20" s="1"/>
  <c r="M76" i="20" a="1"/>
  <c r="M76" i="20" s="1"/>
  <c r="N76" i="20" s="1"/>
  <c r="M77" i="20" a="1"/>
  <c r="M77" i="20"/>
  <c r="M78" i="20" a="1"/>
  <c r="M78" i="20" s="1"/>
  <c r="M79" i="20" a="1"/>
  <c r="M79" i="20" s="1"/>
  <c r="N79" i="20" s="1"/>
  <c r="M80" i="20" a="1"/>
  <c r="M80" i="20" s="1"/>
  <c r="N80" i="20" s="1"/>
  <c r="M81" i="20" a="1"/>
  <c r="M81" i="20" s="1"/>
  <c r="M82" i="20" a="1"/>
  <c r="M82" i="20" s="1"/>
  <c r="N82" i="20" s="1"/>
  <c r="M83" i="20" a="1"/>
  <c r="M83" i="20"/>
  <c r="M84" i="20" a="1"/>
  <c r="M84" i="20" s="1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N88" i="20" s="1"/>
  <c r="M89" i="20" a="1"/>
  <c r="M89" i="20" s="1"/>
  <c r="N89" i="20" s="1"/>
  <c r="M90" i="20" a="1"/>
  <c r="M90" i="20"/>
  <c r="M91" i="20" a="1"/>
  <c r="M91" i="20"/>
  <c r="N91" i="20" s="1"/>
  <c r="M92" i="20" a="1"/>
  <c r="M92" i="20" s="1"/>
  <c r="N92" i="20" s="1"/>
  <c r="M93" i="20" a="1"/>
  <c r="M93" i="20" s="1"/>
  <c r="M94" i="20" a="1"/>
  <c r="M94" i="20" s="1"/>
  <c r="N94" i="20" s="1"/>
  <c r="M95" i="20" a="1"/>
  <c r="M95" i="20"/>
  <c r="M96" i="20" a="1"/>
  <c r="M96" i="20" s="1"/>
  <c r="N96" i="20" s="1"/>
  <c r="M97" i="20" a="1"/>
  <c r="M97" i="20" s="1"/>
  <c r="M98" i="20" a="1"/>
  <c r="M98" i="20" s="1"/>
  <c r="N98" i="20" s="1"/>
  <c r="M99" i="20" a="1"/>
  <c r="M99" i="20" s="1"/>
  <c r="N99" i="20" s="1"/>
  <c r="M100" i="20" a="1"/>
  <c r="M100" i="20"/>
  <c r="N100" i="20" s="1"/>
  <c r="M101" i="20" a="1"/>
  <c r="M101" i="20" s="1"/>
  <c r="M102" i="20" a="1"/>
  <c r="M102" i="20" s="1"/>
  <c r="M103" i="20" a="1"/>
  <c r="M103" i="20" s="1"/>
  <c r="N103" i="20" s="1"/>
  <c r="M104" i="20" a="1"/>
  <c r="M104" i="20"/>
  <c r="M105" i="20" a="1"/>
  <c r="M105" i="20" s="1"/>
  <c r="N105" i="20" s="1"/>
  <c r="M106" i="20" a="1"/>
  <c r="M106" i="20" s="1"/>
  <c r="N106" i="20" s="1"/>
  <c r="M107" i="20" a="1"/>
  <c r="M107" i="20" s="1"/>
  <c r="N107" i="20" s="1"/>
  <c r="M108" i="20" a="1"/>
  <c r="M108" i="20" s="1"/>
  <c r="N108" i="20" s="1"/>
  <c r="M109" i="20" a="1"/>
  <c r="M109" i="20" s="1"/>
  <c r="M110" i="20" a="1"/>
  <c r="M110" i="20" s="1"/>
  <c r="N110" i="20" s="1"/>
  <c r="M111" i="20" a="1"/>
  <c r="M111" i="20" s="1"/>
  <c r="N111" i="20" s="1"/>
  <c r="M112" i="20" a="1"/>
  <c r="M112" i="20" s="1"/>
  <c r="N112" i="20" s="1"/>
  <c r="M113" i="20" a="1"/>
  <c r="M113" i="20"/>
  <c r="N113" i="20" s="1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 s="1"/>
  <c r="M118" i="20" a="1"/>
  <c r="M118" i="20"/>
  <c r="N118" i="20" s="1"/>
  <c r="M119" i="20" a="1"/>
  <c r="M119" i="20" s="1"/>
  <c r="M120" i="20" a="1"/>
  <c r="M120" i="20" s="1"/>
  <c r="N120" i="20" s="1"/>
  <c r="M121" i="20" a="1"/>
  <c r="M121" i="20" s="1"/>
  <c r="N121" i="20" s="1"/>
  <c r="M122" i="20" a="1"/>
  <c r="M122" i="20" s="1"/>
  <c r="N122" i="20" s="1"/>
  <c r="M123" i="20" a="1"/>
  <c r="M123" i="20" s="1"/>
  <c r="N123" i="20" s="1"/>
  <c r="M124" i="20" a="1"/>
  <c r="M124" i="20"/>
  <c r="N124" i="20" s="1"/>
  <c r="M125" i="20" a="1"/>
  <c r="M125" i="20" s="1"/>
  <c r="N125" i="20" s="1"/>
  <c r="M126" i="20" a="1"/>
  <c r="M126" i="20" s="1"/>
  <c r="N126" i="20" s="1"/>
  <c r="M127" i="20" a="1"/>
  <c r="M127" i="20" s="1"/>
  <c r="N127" i="20" s="1"/>
  <c r="M128" i="20" a="1"/>
  <c r="M128" i="20" s="1"/>
  <c r="M129" i="20" a="1"/>
  <c r="M129" i="20" s="1"/>
  <c r="N129" i="20" s="1"/>
  <c r="M130" i="20" a="1"/>
  <c r="M130" i="20" s="1"/>
  <c r="N130" i="20" s="1"/>
  <c r="M131" i="20" a="1"/>
  <c r="M131" i="20"/>
  <c r="N131" i="20" s="1"/>
  <c r="M132" i="20" a="1"/>
  <c r="M132" i="20" s="1"/>
  <c r="N132" i="20" s="1"/>
  <c r="M133" i="20" a="1"/>
  <c r="M133" i="20" s="1"/>
  <c r="M134" i="20" a="1"/>
  <c r="M134" i="20" s="1"/>
  <c r="N134" i="20" s="1"/>
  <c r="M135" i="20" a="1"/>
  <c r="M135" i="20" s="1"/>
  <c r="N135" i="20" s="1"/>
  <c r="M136" i="20" a="1"/>
  <c r="M136" i="20"/>
  <c r="N136" i="20" s="1"/>
  <c r="M137" i="20" a="1"/>
  <c r="M137" i="20"/>
  <c r="N137" i="20" s="1"/>
  <c r="M138" i="20" a="1"/>
  <c r="M138" i="20" s="1"/>
  <c r="N138" i="20" s="1"/>
  <c r="M139" i="20" a="1"/>
  <c r="M139" i="20"/>
  <c r="M140" i="20" a="1"/>
  <c r="M140" i="20" s="1"/>
  <c r="N140" i="20" s="1"/>
  <c r="M141" i="20" a="1"/>
  <c r="M141" i="20" s="1"/>
  <c r="N141" i="20" s="1"/>
  <c r="M142" i="20" a="1"/>
  <c r="M142" i="20" s="1"/>
  <c r="N142" i="20" s="1"/>
  <c r="M143" i="20" a="1"/>
  <c r="M143" i="20" s="1"/>
  <c r="M144" i="20" a="1"/>
  <c r="M144" i="20" s="1"/>
  <c r="N144" i="20" s="1"/>
  <c r="M145" i="20" a="1"/>
  <c r="M145" i="20" s="1"/>
  <c r="N145" i="20" s="1"/>
  <c r="M146" i="20" a="1"/>
  <c r="M146" i="20" s="1"/>
  <c r="N146" i="20" s="1"/>
  <c r="M147" i="20" a="1"/>
  <c r="M147" i="20" s="1"/>
  <c r="N147" i="20" s="1"/>
  <c r="M148" i="20" a="1"/>
  <c r="M148" i="20" s="1"/>
  <c r="M149" i="20" a="1"/>
  <c r="M149" i="20"/>
  <c r="M150" i="20" a="1"/>
  <c r="M150" i="20" s="1"/>
  <c r="N150" i="20" s="1"/>
  <c r="M151" i="20" a="1"/>
  <c r="M151" i="20" s="1"/>
  <c r="N151" i="20" s="1"/>
  <c r="M152" i="20" a="1"/>
  <c r="M152" i="20"/>
  <c r="N152" i="20" s="1"/>
  <c r="M153" i="20" a="1"/>
  <c r="M153" i="20" s="1"/>
  <c r="M154" i="20" a="1"/>
  <c r="M154" i="20"/>
  <c r="M155" i="20" a="1"/>
  <c r="M155" i="20" s="1"/>
  <c r="N155" i="20" s="1"/>
  <c r="M156" i="20" a="1"/>
  <c r="M156" i="20" s="1"/>
  <c r="M157" i="20" a="1"/>
  <c r="M157" i="20"/>
  <c r="M158" i="20" a="1"/>
  <c r="M158" i="20" s="1"/>
  <c r="N158" i="20" s="1"/>
  <c r="M159" i="20" a="1"/>
  <c r="M159" i="20" s="1"/>
  <c r="N159" i="20" s="1"/>
  <c r="M160" i="20" a="1"/>
  <c r="M160" i="20" s="1"/>
  <c r="N160" i="20" s="1"/>
  <c r="M161" i="20" a="1"/>
  <c r="M161" i="20" s="1"/>
  <c r="M162" i="20" a="1"/>
  <c r="M162" i="20" s="1"/>
  <c r="N162" i="20" s="1"/>
  <c r="M163" i="20" a="1"/>
  <c r="M163" i="20"/>
  <c r="N163" i="20" s="1"/>
  <c r="M164" i="20" a="1"/>
  <c r="M164" i="20" s="1"/>
  <c r="N164" i="20" s="1"/>
  <c r="M165" i="20" a="1"/>
  <c r="M165" i="20" s="1"/>
  <c r="N165" i="20" s="1"/>
  <c r="M166" i="20" a="1"/>
  <c r="M166" i="20" s="1"/>
  <c r="M167" i="20" a="1"/>
  <c r="M167" i="20"/>
  <c r="M168" i="20" a="1"/>
  <c r="M168" i="20" s="1"/>
  <c r="M169" i="20" a="1"/>
  <c r="M169" i="20" s="1"/>
  <c r="N169" i="20" s="1"/>
  <c r="M170" i="20" a="1"/>
  <c r="M170" i="20"/>
  <c r="N170" i="20" s="1"/>
  <c r="M171" i="20" a="1"/>
  <c r="M171" i="20" s="1"/>
  <c r="N11" i="20"/>
  <c r="N12" i="20"/>
  <c r="N24" i="20"/>
  <c r="N40" i="20"/>
  <c r="N51" i="20"/>
  <c r="N54" i="20"/>
  <c r="N75" i="20"/>
  <c r="N78" i="20"/>
  <c r="N81" i="20"/>
  <c r="N93" i="20"/>
  <c r="N117" i="20"/>
  <c r="N153" i="20"/>
  <c r="N171" i="20"/>
  <c r="O2" i="20" a="1"/>
  <c r="O2" i="20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/>
  <c r="O21" i="20" a="1"/>
  <c r="O21" i="20" s="1"/>
  <c r="O22" i="20" a="1"/>
  <c r="O22" i="20" s="1"/>
  <c r="O23" i="20" a="1"/>
  <c r="O23" i="20" s="1"/>
  <c r="O24" i="20" a="1"/>
  <c r="O24" i="20" s="1"/>
  <c r="O25" i="20" a="1"/>
  <c r="O25" i="20"/>
  <c r="O26" i="20" a="1"/>
  <c r="O26" i="20" s="1"/>
  <c r="O27" i="20" a="1"/>
  <c r="O27" i="20" s="1"/>
  <c r="O28" i="20" a="1"/>
  <c r="O28" i="20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/>
  <c r="O39" i="20" a="1"/>
  <c r="O39" i="20" s="1"/>
  <c r="O40" i="20" a="1"/>
  <c r="O40" i="20" s="1"/>
  <c r="O41" i="20" a="1"/>
  <c r="O41" i="20"/>
  <c r="O42" i="20" a="1"/>
  <c r="O42" i="20" s="1"/>
  <c r="O43" i="20" a="1"/>
  <c r="O43" i="20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/>
  <c r="O53" i="20" a="1"/>
  <c r="O53" i="20" s="1"/>
  <c r="O54" i="20" a="1"/>
  <c r="O54" i="20" s="1"/>
  <c r="O55" i="20" a="1"/>
  <c r="O55" i="20" s="1"/>
  <c r="O56" i="20" a="1"/>
  <c r="O56" i="20"/>
  <c r="O57" i="20" a="1"/>
  <c r="O57" i="20" s="1"/>
  <c r="O58" i="20" a="1"/>
  <c r="O58" i="20" s="1"/>
  <c r="O59" i="20" a="1"/>
  <c r="O59" i="20"/>
  <c r="O60" i="20" a="1"/>
  <c r="O60" i="20" s="1"/>
  <c r="O61" i="20" a="1"/>
  <c r="O61" i="20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/>
  <c r="O70" i="20" a="1"/>
  <c r="O70" i="20" s="1"/>
  <c r="O71" i="20" a="1"/>
  <c r="O71" i="20" s="1"/>
  <c r="O72" i="20" a="1"/>
  <c r="O72" i="20" s="1"/>
  <c r="O73" i="20" a="1"/>
  <c r="O73" i="20" s="1"/>
  <c r="O74" i="20" a="1"/>
  <c r="O74" i="20"/>
  <c r="O75" i="20" a="1"/>
  <c r="O75" i="20" s="1"/>
  <c r="O76" i="20" a="1"/>
  <c r="O76" i="20" s="1"/>
  <c r="O77" i="20" a="1"/>
  <c r="O77" i="20"/>
  <c r="O78" i="20" a="1"/>
  <c r="O78" i="20" s="1"/>
  <c r="O79" i="20" a="1"/>
  <c r="O79" i="20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/>
  <c r="O97" i="20" a="1"/>
  <c r="O97" i="20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O20" i="18" s="1" a="1"/>
  <c r="O20" i="18" s="1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O19" i="18" a="1"/>
  <c r="O19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Q2" i="18" a="1"/>
  <c r="Q2" i="18" s="1"/>
  <c r="R2" i="18" s="1"/>
  <c r="U2" i="18" s="1"/>
  <c r="Q3" i="18" a="1"/>
  <c r="Q3" i="18" s="1"/>
  <c r="R3" i="18" s="1"/>
  <c r="U3" i="18" s="1"/>
  <c r="Q4" i="18" a="1"/>
  <c r="Q4" i="18" s="1"/>
  <c r="R4" i="18" s="1"/>
  <c r="U4" i="18" s="1"/>
  <c r="Q5" i="18" a="1"/>
  <c r="Q5" i="18"/>
  <c r="R5" i="18" s="1"/>
  <c r="U5" i="18" s="1"/>
  <c r="Q6" i="18" a="1"/>
  <c r="Q6" i="18"/>
  <c r="Q7" i="18" a="1"/>
  <c r="Q7" i="18"/>
  <c r="R7" i="18" s="1"/>
  <c r="U7" i="18" s="1"/>
  <c r="Q8" i="18" a="1"/>
  <c r="Q8" i="18" s="1"/>
  <c r="R8" i="18" s="1"/>
  <c r="U8" i="18" s="1"/>
  <c r="Q9" i="18" a="1"/>
  <c r="Q9" i="18" s="1"/>
  <c r="Q10" i="18" a="1"/>
  <c r="Q10" i="18" s="1"/>
  <c r="R10" i="18" s="1"/>
  <c r="U10" i="18" s="1"/>
  <c r="Q11" i="18" a="1"/>
  <c r="Q11" i="18"/>
  <c r="Q12" i="18" a="1"/>
  <c r="Q12" i="18" s="1"/>
  <c r="R12" i="18" s="1"/>
  <c r="U12" i="18" s="1"/>
  <c r="Q13" i="18" a="1"/>
  <c r="Q13" i="18" s="1"/>
  <c r="R13" i="18" s="1"/>
  <c r="U13" i="18" s="1"/>
  <c r="Q14" i="18" a="1"/>
  <c r="Q14" i="18" s="1"/>
  <c r="R14" i="18" s="1"/>
  <c r="U14" i="18" s="1"/>
  <c r="Q15" i="18" a="1"/>
  <c r="Q15" i="18" s="1"/>
  <c r="R15" i="18" s="1"/>
  <c r="U15" i="18" s="1"/>
  <c r="Q16" i="18" a="1"/>
  <c r="Q16" i="18" s="1"/>
  <c r="R16" i="18" s="1"/>
  <c r="U16" i="18" s="1"/>
  <c r="Q17" i="18" a="1"/>
  <c r="Q17" i="18" s="1"/>
  <c r="R17" i="18" s="1"/>
  <c r="U17" i="18" s="1"/>
  <c r="Q18" i="18" a="1"/>
  <c r="Q18" i="18"/>
  <c r="R18" i="18" s="1"/>
  <c r="U18" i="18" s="1"/>
  <c r="Q19" i="18" a="1"/>
  <c r="Q19" i="18"/>
  <c r="R19" i="18" s="1"/>
  <c r="U19" i="18" s="1"/>
  <c r="Q20" i="18" a="1"/>
  <c r="Q20" i="18" s="1"/>
  <c r="R20" i="18" s="1"/>
  <c r="U20" i="18" s="1"/>
  <c r="Q21" i="18" a="1"/>
  <c r="Q21" i="18" s="1"/>
  <c r="R21" i="18" s="1"/>
  <c r="U21" i="18" s="1"/>
  <c r="Q22" i="18" a="1"/>
  <c r="Q22" i="18" s="1"/>
  <c r="R22" i="18" s="1"/>
  <c r="U22" i="18" s="1"/>
  <c r="Q23" i="18" a="1"/>
  <c r="Q23" i="18" s="1"/>
  <c r="R23" i="18" s="1"/>
  <c r="U23" i="18" s="1"/>
  <c r="Q24" i="18" a="1"/>
  <c r="Q24" i="18"/>
  <c r="R24" i="18" s="1"/>
  <c r="U24" i="18" s="1"/>
  <c r="Q25" i="18" a="1"/>
  <c r="Q25" i="18" s="1"/>
  <c r="R25" i="18" s="1"/>
  <c r="U25" i="18" s="1"/>
  <c r="Q26" i="18" a="1"/>
  <c r="Q26" i="18" s="1"/>
  <c r="R26" i="18" s="1"/>
  <c r="U26" i="18" s="1"/>
  <c r="Q27" i="18" a="1"/>
  <c r="Q27" i="18" s="1"/>
  <c r="Q28" i="18" a="1"/>
  <c r="Q28" i="18" s="1"/>
  <c r="R28" i="18" s="1"/>
  <c r="U28" i="18" s="1"/>
  <c r="Q29" i="18" a="1"/>
  <c r="Q29" i="18" s="1"/>
  <c r="R29" i="18" s="1"/>
  <c r="U29" i="18" s="1"/>
  <c r="Q30" i="18" a="1"/>
  <c r="Q30" i="18"/>
  <c r="R30" i="18" s="1"/>
  <c r="U30" i="18" s="1"/>
  <c r="Q31" i="18" a="1"/>
  <c r="Q31" i="18"/>
  <c r="R31" i="18" s="1"/>
  <c r="U31" i="18" s="1"/>
  <c r="Q32" i="18" a="1"/>
  <c r="Q32" i="18"/>
  <c r="R32" i="18" s="1"/>
  <c r="U32" i="18" s="1"/>
  <c r="Q33" i="18" a="1"/>
  <c r="Q33" i="18" s="1"/>
  <c r="Q34" i="18" a="1"/>
  <c r="Q34" i="18" s="1"/>
  <c r="R34" i="18" s="1"/>
  <c r="U34" i="18" s="1"/>
  <c r="Q35" i="18" a="1"/>
  <c r="Q35" i="18" s="1"/>
  <c r="R35" i="18" s="1"/>
  <c r="U35" i="18" s="1"/>
  <c r="Q36" i="18" a="1"/>
  <c r="Q36" i="18" s="1"/>
  <c r="Q37" i="18" a="1"/>
  <c r="Q37" i="18" s="1"/>
  <c r="R37" i="18" s="1"/>
  <c r="U37" i="18" s="1"/>
  <c r="Q38" i="18" a="1"/>
  <c r="Q38" i="18" s="1"/>
  <c r="R38" i="18" s="1"/>
  <c r="U38" i="18" s="1"/>
  <c r="Q39" i="18" a="1"/>
  <c r="Q39" i="18" s="1"/>
  <c r="R39" i="18" s="1"/>
  <c r="U39" i="18" s="1"/>
  <c r="Q40" i="18" a="1"/>
  <c r="Q40" i="18"/>
  <c r="R40" i="18" s="1"/>
  <c r="U40" i="18" s="1"/>
  <c r="Q41" i="18" a="1"/>
  <c r="Q41" i="18" s="1"/>
  <c r="R41" i="18" s="1"/>
  <c r="U41" i="18" s="1"/>
  <c r="Q42" i="18" a="1"/>
  <c r="Q42" i="18" s="1"/>
  <c r="R42" i="18" s="1"/>
  <c r="U42" i="18" s="1"/>
  <c r="Q43" i="18" a="1"/>
  <c r="Q43" i="18"/>
  <c r="R43" i="18" s="1"/>
  <c r="U43" i="18" s="1"/>
  <c r="Q44" i="18" a="1"/>
  <c r="Q44" i="18"/>
  <c r="R44" i="18" s="1"/>
  <c r="U44" i="18" s="1"/>
  <c r="Q45" i="18" a="1"/>
  <c r="Q45" i="18" s="1"/>
  <c r="Q46" i="18" a="1"/>
  <c r="Q46" i="18" s="1"/>
  <c r="R46" i="18" s="1"/>
  <c r="U46" i="18" s="1"/>
  <c r="Q47" i="18" a="1"/>
  <c r="Q47" i="18" s="1"/>
  <c r="R47" i="18" s="1"/>
  <c r="U47" i="18" s="1"/>
  <c r="Q48" i="18" a="1"/>
  <c r="Q48" i="18" s="1"/>
  <c r="R48" i="18" s="1"/>
  <c r="U48" i="18" s="1"/>
  <c r="Q49" i="18" a="1"/>
  <c r="Q49" i="18" s="1"/>
  <c r="R49" i="18" s="1"/>
  <c r="U49" i="18" s="1"/>
  <c r="Q50" i="18" a="1"/>
  <c r="Q50" i="18"/>
  <c r="R50" i="18" s="1"/>
  <c r="U50" i="18" s="1"/>
  <c r="Q51" i="18" a="1"/>
  <c r="Q51" i="18" s="1"/>
  <c r="R51" i="18" s="1"/>
  <c r="U51" i="18" s="1"/>
  <c r="Q52" i="18" a="1"/>
  <c r="Q52" i="18"/>
  <c r="R52" i="18" s="1"/>
  <c r="U52" i="18" s="1"/>
  <c r="Q53" i="18" a="1"/>
  <c r="Q53" i="18"/>
  <c r="R53" i="18" s="1"/>
  <c r="U53" i="18" s="1"/>
  <c r="Q54" i="18" a="1"/>
  <c r="Q54" i="18" s="1"/>
  <c r="R54" i="18" s="1"/>
  <c r="U54" i="18" s="1"/>
  <c r="Q55" i="18" a="1"/>
  <c r="Q55" i="18"/>
  <c r="R55" i="18" s="1"/>
  <c r="U55" i="18" s="1"/>
  <c r="Q56" i="18" a="1"/>
  <c r="Q56" i="18"/>
  <c r="R56" i="18" s="1"/>
  <c r="U56" i="18" s="1"/>
  <c r="Q57" i="18" a="1"/>
  <c r="Q57" i="18" s="1"/>
  <c r="R57" i="18" s="1"/>
  <c r="U57" i="18" s="1"/>
  <c r="Q58" i="18" a="1"/>
  <c r="Q58" i="18" s="1"/>
  <c r="R58" i="18" s="1"/>
  <c r="U58" i="18" s="1"/>
  <c r="Q59" i="18" a="1"/>
  <c r="Q59" i="18" s="1"/>
  <c r="R59" i="18" s="1"/>
  <c r="U59" i="18" s="1"/>
  <c r="Q60" i="18" a="1"/>
  <c r="Q60" i="18" s="1"/>
  <c r="Q61" i="18" a="1"/>
  <c r="Q61" i="18" s="1"/>
  <c r="R61" i="18" s="1"/>
  <c r="U61" i="18" s="1"/>
  <c r="Q62" i="18" a="1"/>
  <c r="Q62" i="18" s="1"/>
  <c r="R62" i="18" s="1"/>
  <c r="U62" i="18" s="1"/>
  <c r="Q63" i="18" a="1"/>
  <c r="Q63" i="18" s="1"/>
  <c r="R63" i="18" s="1"/>
  <c r="U63" i="18" s="1"/>
  <c r="Q64" i="18" a="1"/>
  <c r="Q64" i="18" s="1"/>
  <c r="R64" i="18" s="1"/>
  <c r="U64" i="18" s="1"/>
  <c r="Q65" i="18" a="1"/>
  <c r="Q65" i="18" s="1"/>
  <c r="R65" i="18" s="1"/>
  <c r="U65" i="18" s="1"/>
  <c r="Q66" i="18" a="1"/>
  <c r="Q66" i="18" s="1"/>
  <c r="Q67" i="18" a="1"/>
  <c r="Q67" i="18" s="1"/>
  <c r="R67" i="18" s="1"/>
  <c r="U67" i="18" s="1"/>
  <c r="Q68" i="18" a="1"/>
  <c r="Q68" i="18" s="1"/>
  <c r="R68" i="18" s="1"/>
  <c r="U68" i="18" s="1"/>
  <c r="Q69" i="18" a="1"/>
  <c r="Q69" i="18" s="1"/>
  <c r="R69" i="18" s="1"/>
  <c r="U69" i="18" s="1"/>
  <c r="Q70" i="18" a="1"/>
  <c r="Q70" i="18"/>
  <c r="R70" i="18" s="1"/>
  <c r="U70" i="18" s="1"/>
  <c r="Q71" i="18" a="1"/>
  <c r="Q71" i="18" s="1"/>
  <c r="R71" i="18" s="1"/>
  <c r="U71" i="18" s="1"/>
  <c r="Q72" i="18" a="1"/>
  <c r="Q72" i="18" s="1"/>
  <c r="R72" i="18" s="1"/>
  <c r="U72" i="18" s="1"/>
  <c r="Q73" i="18" a="1"/>
  <c r="Q73" i="18" s="1"/>
  <c r="R73" i="18" s="1"/>
  <c r="U73" i="18" s="1"/>
  <c r="Q74" i="18" a="1"/>
  <c r="Q74" i="18" s="1"/>
  <c r="R74" i="18" s="1"/>
  <c r="U74" i="18" s="1"/>
  <c r="Q75" i="18" a="1"/>
  <c r="Q75" i="18" s="1"/>
  <c r="R75" i="18" s="1"/>
  <c r="U75" i="18" s="1"/>
  <c r="Q76" i="18" a="1"/>
  <c r="Q76" i="18"/>
  <c r="R76" i="18" s="1"/>
  <c r="U76" i="18" s="1"/>
  <c r="Q77" i="18" a="1"/>
  <c r="Q77" i="18" s="1"/>
  <c r="R77" i="18" s="1"/>
  <c r="U77" i="18" s="1"/>
  <c r="Q78" i="18" a="1"/>
  <c r="Q78" i="18" s="1"/>
  <c r="R78" i="18" s="1"/>
  <c r="U78" i="18" s="1"/>
  <c r="Q79" i="18" a="1"/>
  <c r="Q79" i="18" s="1"/>
  <c r="R79" i="18" s="1"/>
  <c r="U79" i="18" s="1"/>
  <c r="Q80" i="18" a="1"/>
  <c r="Q80" i="18" s="1"/>
  <c r="R80" i="18" s="1"/>
  <c r="U80" i="18" s="1"/>
  <c r="Q81" i="18" a="1"/>
  <c r="Q81" i="18" s="1"/>
  <c r="Q82" i="18" a="1"/>
  <c r="Q82" i="18" s="1"/>
  <c r="R82" i="18" s="1"/>
  <c r="U82" i="18" s="1"/>
  <c r="Q83" i="18" a="1"/>
  <c r="Q83" i="18" s="1"/>
  <c r="R83" i="18" s="1"/>
  <c r="U83" i="18" s="1"/>
  <c r="Q84" i="18" a="1"/>
  <c r="Q84" i="18" s="1"/>
  <c r="R84" i="18" s="1"/>
  <c r="U84" i="18" s="1"/>
  <c r="Q85" i="18" a="1"/>
  <c r="Q85" i="18" s="1"/>
  <c r="R85" i="18" s="1"/>
  <c r="U85" i="18" s="1"/>
  <c r="Q86" i="18" a="1"/>
  <c r="Q86" i="18" s="1"/>
  <c r="R86" i="18" s="1"/>
  <c r="U86" i="18" s="1"/>
  <c r="Q87" i="18" a="1"/>
  <c r="Q87" i="18" s="1"/>
  <c r="R87" i="18" s="1"/>
  <c r="U87" i="18" s="1"/>
  <c r="Q88" i="18" a="1"/>
  <c r="Q88" i="18"/>
  <c r="R88" i="18" s="1"/>
  <c r="U88" i="18" s="1"/>
  <c r="Q89" i="18" a="1"/>
  <c r="Q89" i="18" s="1"/>
  <c r="R89" i="18" s="1"/>
  <c r="U89" i="18" s="1"/>
  <c r="Q90" i="18" a="1"/>
  <c r="Q90" i="18" s="1"/>
  <c r="R90" i="18" s="1"/>
  <c r="U90" i="18" s="1"/>
  <c r="Q91" i="18" a="1"/>
  <c r="Q91" i="18" s="1"/>
  <c r="R91" i="18" s="1"/>
  <c r="U91" i="18" s="1"/>
  <c r="Q92" i="18" a="1"/>
  <c r="Q92" i="18" s="1"/>
  <c r="R92" i="18" s="1"/>
  <c r="U92" i="18" s="1"/>
  <c r="Q93" i="18" a="1"/>
  <c r="Q93" i="18" s="1"/>
  <c r="Q94" i="18" a="1"/>
  <c r="Q94" i="18" s="1"/>
  <c r="R94" i="18" s="1"/>
  <c r="U94" i="18" s="1"/>
  <c r="Q95" i="18" a="1"/>
  <c r="Q95" i="18" s="1"/>
  <c r="R95" i="18" s="1"/>
  <c r="U95" i="18" s="1"/>
  <c r="Q96" i="18" a="1"/>
  <c r="Q96" i="18" s="1"/>
  <c r="R96" i="18" s="1"/>
  <c r="U96" i="18" s="1"/>
  <c r="Q97" i="18" a="1"/>
  <c r="Q97" i="18" s="1"/>
  <c r="R97" i="18" s="1"/>
  <c r="U97" i="18" s="1"/>
  <c r="Q98" i="18" a="1"/>
  <c r="Q98" i="18" s="1"/>
  <c r="R98" i="18" s="1"/>
  <c r="U98" i="18" s="1"/>
  <c r="Q99" i="18" a="1"/>
  <c r="Q99" i="18" s="1"/>
  <c r="R99" i="18" s="1"/>
  <c r="U99" i="18" s="1"/>
  <c r="Q100" i="18" a="1"/>
  <c r="Q100" i="18" s="1"/>
  <c r="R100" i="18" s="1"/>
  <c r="U100" i="18" s="1"/>
  <c r="Q101" i="18" a="1"/>
  <c r="Q101" i="18"/>
  <c r="Q102" i="18" a="1"/>
  <c r="Q102" i="18" s="1"/>
  <c r="R102" i="18" s="1"/>
  <c r="U102" i="18" s="1"/>
  <c r="Q103" i="18" a="1"/>
  <c r="Q103" i="18" s="1"/>
  <c r="R103" i="18" s="1"/>
  <c r="U103" i="18" s="1"/>
  <c r="Q104" i="18" a="1"/>
  <c r="Q104" i="18" s="1"/>
  <c r="R104" i="18" s="1"/>
  <c r="U104" i="18" s="1"/>
  <c r="Q105" i="18" a="1"/>
  <c r="Q105" i="18" s="1"/>
  <c r="Q106" i="18" a="1"/>
  <c r="Q106" i="18" s="1"/>
  <c r="R106" i="18" s="1"/>
  <c r="U106" i="18" s="1"/>
  <c r="Q107" i="18" a="1"/>
  <c r="Q107" i="18" s="1"/>
  <c r="R107" i="18" s="1"/>
  <c r="U107" i="18" s="1"/>
  <c r="Q108" i="18" a="1"/>
  <c r="Q108" i="18" s="1"/>
  <c r="Q109" i="18" a="1"/>
  <c r="Q109" i="18"/>
  <c r="R109" i="18" s="1"/>
  <c r="Q110" i="18" a="1"/>
  <c r="Q110" i="18" s="1"/>
  <c r="R110" i="18" s="1"/>
  <c r="U110" i="18" s="1"/>
  <c r="Q111" i="18" a="1"/>
  <c r="Q111" i="18" s="1"/>
  <c r="R111" i="18" s="1"/>
  <c r="U111" i="18" s="1"/>
  <c r="Q112" i="18" a="1"/>
  <c r="Q112" i="18" s="1"/>
  <c r="R112" i="18" s="1"/>
  <c r="U112" i="18" s="1"/>
  <c r="Q113" i="18" a="1"/>
  <c r="Q113" i="18" s="1"/>
  <c r="R113" i="18" s="1"/>
  <c r="U113" i="18" s="1"/>
  <c r="Q114" i="18" a="1"/>
  <c r="Q114" i="18" s="1"/>
  <c r="R114" i="18" s="1"/>
  <c r="U114" i="18" s="1"/>
  <c r="Q115" i="18" a="1"/>
  <c r="Q115" i="18" s="1"/>
  <c r="R115" i="18" s="1"/>
  <c r="U115" i="18" s="1"/>
  <c r="Q116" i="18" a="1"/>
  <c r="Q116" i="18" s="1"/>
  <c r="R116" i="18" s="1"/>
  <c r="U116" i="18" s="1"/>
  <c r="Q117" i="18" a="1"/>
  <c r="Q117" i="18" s="1"/>
  <c r="R117" i="18" s="1"/>
  <c r="U117" i="18" s="1"/>
  <c r="Q118" i="18" a="1"/>
  <c r="Q118" i="18" s="1"/>
  <c r="R118" i="18" s="1"/>
  <c r="U118" i="18" s="1"/>
  <c r="Q119" i="18" a="1"/>
  <c r="Q119" i="18" s="1"/>
  <c r="R119" i="18" s="1"/>
  <c r="U119" i="18" s="1"/>
  <c r="Q120" i="18" a="1"/>
  <c r="Q120" i="18" s="1"/>
  <c r="R120" i="18" s="1"/>
  <c r="U120" i="18" s="1"/>
  <c r="Q121" i="18" a="1"/>
  <c r="Q121" i="18" s="1"/>
  <c r="R121" i="18" s="1"/>
  <c r="U121" i="18" s="1"/>
  <c r="Q122" i="18" a="1"/>
  <c r="Q122" i="18" s="1"/>
  <c r="R122" i="18" s="1"/>
  <c r="U122" i="18" s="1"/>
  <c r="Q123" i="18" a="1"/>
  <c r="Q123" i="18" s="1"/>
  <c r="R123" i="18" s="1"/>
  <c r="U123" i="18" s="1"/>
  <c r="Q124" i="18" a="1"/>
  <c r="Q124" i="18" s="1"/>
  <c r="R124" i="18" s="1"/>
  <c r="U124" i="18" s="1"/>
  <c r="Q125" i="18" a="1"/>
  <c r="Q125" i="18" s="1"/>
  <c r="R125" i="18" s="1"/>
  <c r="U125" i="18" s="1"/>
  <c r="Q126" i="18" a="1"/>
  <c r="Q126" i="18" s="1"/>
  <c r="R126" i="18" s="1"/>
  <c r="U126" i="18" s="1"/>
  <c r="Q127" i="18" a="1"/>
  <c r="Q127" i="18" s="1"/>
  <c r="R127" i="18" s="1"/>
  <c r="U127" i="18" s="1"/>
  <c r="Q128" i="18" a="1"/>
  <c r="Q128" i="18" s="1"/>
  <c r="R128" i="18" s="1"/>
  <c r="U128" i="18" s="1"/>
  <c r="Q129" i="18" a="1"/>
  <c r="Q129" i="18" s="1"/>
  <c r="R129" i="18" s="1"/>
  <c r="U129" i="18" s="1"/>
  <c r="Q130" i="18" a="1"/>
  <c r="Q130" i="18" s="1"/>
  <c r="R130" i="18" s="1"/>
  <c r="U130" i="18" s="1"/>
  <c r="Q131" i="18" a="1"/>
  <c r="Q131" i="18" s="1"/>
  <c r="Q132" i="18" a="1"/>
  <c r="Q132" i="18" s="1"/>
  <c r="R132" i="18" s="1"/>
  <c r="U132" i="18" s="1"/>
  <c r="Q133" i="18" a="1"/>
  <c r="Q133" i="18" s="1"/>
  <c r="R133" i="18" s="1"/>
  <c r="U133" i="18" s="1"/>
  <c r="Q134" i="18" a="1"/>
  <c r="Q134" i="18" s="1"/>
  <c r="R134" i="18" s="1"/>
  <c r="U134" i="18" s="1"/>
  <c r="Q135" i="18" a="1"/>
  <c r="Q135" i="18" s="1"/>
  <c r="R135" i="18" s="1"/>
  <c r="U135" i="18" s="1"/>
  <c r="Q136" i="18" a="1"/>
  <c r="Q136" i="18" s="1"/>
  <c r="R136" i="18" s="1"/>
  <c r="U136" i="18" s="1"/>
  <c r="Q137" i="18" a="1"/>
  <c r="Q137" i="18"/>
  <c r="R137" i="18" s="1"/>
  <c r="U137" i="18" s="1"/>
  <c r="Q138" i="18" a="1"/>
  <c r="Q138" i="18"/>
  <c r="R138" i="18" s="1"/>
  <c r="U138" i="18" s="1"/>
  <c r="Q139" i="18" a="1"/>
  <c r="Q139" i="18" s="1"/>
  <c r="R139" i="18" s="1"/>
  <c r="U139" i="18" s="1"/>
  <c r="Q140" i="18" a="1"/>
  <c r="Q140" i="18"/>
  <c r="R140" i="18" s="1"/>
  <c r="U140" i="18" s="1"/>
  <c r="Q141" i="18" a="1"/>
  <c r="Q141" i="18" s="1"/>
  <c r="R141" i="18" s="1"/>
  <c r="U141" i="18" s="1"/>
  <c r="Q142" i="18" a="1"/>
  <c r="Q142" i="18" s="1"/>
  <c r="R142" i="18" s="1"/>
  <c r="U142" i="18" s="1"/>
  <c r="Q143" i="18" a="1"/>
  <c r="Q143" i="18" s="1"/>
  <c r="R143" i="18" s="1"/>
  <c r="U143" i="18" s="1"/>
  <c r="Q144" i="18" a="1"/>
  <c r="Q144" i="18" s="1"/>
  <c r="R144" i="18" s="1"/>
  <c r="U144" i="18" s="1"/>
  <c r="Q145" i="18" a="1"/>
  <c r="Q145" i="18" s="1"/>
  <c r="R145" i="18" s="1"/>
  <c r="U145" i="18" s="1"/>
  <c r="Q146" i="18" a="1"/>
  <c r="Q146" i="18" s="1"/>
  <c r="R146" i="18" s="1"/>
  <c r="U146" i="18" s="1"/>
  <c r="Q147" i="18" a="1"/>
  <c r="Q147" i="18" s="1"/>
  <c r="R147" i="18" s="1"/>
  <c r="U147" i="18" s="1"/>
  <c r="Q148" i="18" a="1"/>
  <c r="Q148" i="18" s="1"/>
  <c r="R148" i="18" s="1"/>
  <c r="U148" i="18" s="1"/>
  <c r="Q149" i="18" a="1"/>
  <c r="Q149" i="18"/>
  <c r="R149" i="18" s="1"/>
  <c r="U149" i="18" s="1"/>
  <c r="Q150" i="18" a="1"/>
  <c r="Q150" i="18"/>
  <c r="R150" i="18" s="1"/>
  <c r="U150" i="18" s="1"/>
  <c r="Q151" i="18" a="1"/>
  <c r="Q151" i="18"/>
  <c r="R151" i="18" s="1"/>
  <c r="U151" i="18" s="1"/>
  <c r="Q152" i="18" a="1"/>
  <c r="Q152" i="18" s="1"/>
  <c r="R152" i="18" s="1"/>
  <c r="U152" i="18" s="1"/>
  <c r="Q153" i="18" a="1"/>
  <c r="Q153" i="18" s="1"/>
  <c r="Q154" i="18" a="1"/>
  <c r="Q154" i="18" s="1"/>
  <c r="R154" i="18" s="1"/>
  <c r="U154" i="18" s="1"/>
  <c r="Q155" i="18" a="1"/>
  <c r="Q155" i="18"/>
  <c r="R155" i="18" s="1"/>
  <c r="U155" i="18" s="1"/>
  <c r="Q156" i="18" a="1"/>
  <c r="Q156" i="18" s="1"/>
  <c r="R156" i="18" s="1"/>
  <c r="U156" i="18" s="1"/>
  <c r="Q157" i="18" a="1"/>
  <c r="Q157" i="18" s="1"/>
  <c r="R157" i="18" s="1"/>
  <c r="U157" i="18" s="1"/>
  <c r="Q158" i="18" a="1"/>
  <c r="Q158" i="18" s="1"/>
  <c r="R158" i="18" s="1"/>
  <c r="U158" i="18" s="1"/>
  <c r="Q159" i="18" a="1"/>
  <c r="Q159" i="18" s="1"/>
  <c r="Q160" i="18" a="1"/>
  <c r="Q160" i="18" s="1"/>
  <c r="R160" i="18" s="1"/>
  <c r="U160" i="18" s="1"/>
  <c r="Q161" i="18" a="1"/>
  <c r="Q161" i="18" s="1"/>
  <c r="R161" i="18" s="1"/>
  <c r="U161" i="18" s="1"/>
  <c r="Q162" i="18" a="1"/>
  <c r="Q162" i="18"/>
  <c r="R162" i="18" s="1"/>
  <c r="U162" i="18" s="1"/>
  <c r="Q163" i="18" a="1"/>
  <c r="Q163" i="18"/>
  <c r="R163" i="18" s="1"/>
  <c r="U163" i="18" s="1"/>
  <c r="Q164" i="18" a="1"/>
  <c r="Q164" i="18" s="1"/>
  <c r="R164" i="18" s="1"/>
  <c r="U164" i="18" s="1"/>
  <c r="Q165" i="18" a="1"/>
  <c r="Q165" i="18" s="1"/>
  <c r="R165" i="18" s="1"/>
  <c r="U165" i="18" s="1"/>
  <c r="Q166" i="18" a="1"/>
  <c r="Q166" i="18" s="1"/>
  <c r="Q167" i="18" a="1"/>
  <c r="Q167" i="18" s="1"/>
  <c r="Q168" i="18" a="1"/>
  <c r="Q168" i="18"/>
  <c r="Q169" i="18" a="1"/>
  <c r="Q169" i="18" s="1"/>
  <c r="Q170" i="18" a="1"/>
  <c r="Q170" i="18" s="1"/>
  <c r="Q171" i="18" a="1"/>
  <c r="Q171" i="18" s="1"/>
  <c r="R9" i="18"/>
  <c r="R11" i="18"/>
  <c r="R27" i="18"/>
  <c r="R33" i="18"/>
  <c r="R45" i="18"/>
  <c r="R81" i="18"/>
  <c r="R93" i="18"/>
  <c r="R101" i="18"/>
  <c r="R105" i="18"/>
  <c r="R153" i="18"/>
  <c r="R171" i="18"/>
  <c r="S2" i="18" a="1"/>
  <c r="S2" i="18" s="1"/>
  <c r="S3" i="18" a="1"/>
  <c r="S3" i="18"/>
  <c r="S4" i="18" a="1"/>
  <c r="S4" i="18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/>
  <c r="S38" i="18" a="1"/>
  <c r="S38" i="18" s="1"/>
  <c r="S39" i="18" a="1"/>
  <c r="S39" i="18"/>
  <c r="S40" i="18" a="1"/>
  <c r="S40" i="18"/>
  <c r="S41" i="18" a="1"/>
  <c r="S41" i="18" s="1"/>
  <c r="S42" i="18" a="1"/>
  <c r="S42" i="18" s="1"/>
  <c r="S43" i="18" a="1"/>
  <c r="S43" i="18" s="1"/>
  <c r="S44" i="18" a="1"/>
  <c r="S44" i="18"/>
  <c r="S45" i="18" a="1"/>
  <c r="S45" i="18" s="1"/>
  <c r="S46" i="18" a="1"/>
  <c r="S46" i="18" s="1"/>
  <c r="S47" i="18" a="1"/>
  <c r="S47" i="18" s="1"/>
  <c r="S48" i="18" a="1"/>
  <c r="S48" i="18" s="1"/>
  <c r="S49" i="18" a="1"/>
  <c r="S49" i="18"/>
  <c r="S50" i="18" a="1"/>
  <c r="S50" i="18"/>
  <c r="S51" i="18" a="1"/>
  <c r="S51" i="18" s="1"/>
  <c r="S52" i="18" a="1"/>
  <c r="S52" i="18"/>
  <c r="S53" i="18" a="1"/>
  <c r="S53" i="18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/>
  <c r="S74" i="18" a="1"/>
  <c r="S74" i="18" s="1"/>
  <c r="S75" i="18" a="1"/>
  <c r="S75" i="18" s="1"/>
  <c r="S76" i="18" a="1"/>
  <c r="S76" i="18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/>
  <c r="S99" i="18" a="1"/>
  <c r="S99" i="18"/>
  <c r="S100" i="18" a="1"/>
  <c r="S100" i="18" s="1"/>
  <c r="S101" i="18" a="1"/>
  <c r="S101" i="18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/>
  <c r="S135" i="18" a="1"/>
  <c r="S135" i="18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/>
  <c r="S148" i="18" a="1"/>
  <c r="S148" i="18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 s="1"/>
  <c r="S157" i="18" a="1"/>
  <c r="S157" i="18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/>
  <c r="S163" i="18" a="1"/>
  <c r="S163" i="18"/>
  <c r="S164" i="18" a="1"/>
  <c r="S164" i="18" s="1"/>
  <c r="S165" i="18" a="1"/>
  <c r="S165" i="18" s="1"/>
  <c r="S166" i="18" a="1"/>
  <c r="S166" i="18"/>
  <c r="S167" i="18" a="1"/>
  <c r="S167" i="18" s="1"/>
  <c r="S168" i="18" a="1"/>
  <c r="S168" i="18" s="1"/>
  <c r="S169" i="18" a="1"/>
  <c r="S169" i="18" s="1"/>
  <c r="S170" i="18" a="1"/>
  <c r="S170" i="18"/>
  <c r="S171" i="18" a="1"/>
  <c r="S171" i="18" s="1"/>
  <c r="T2" i="18" a="1"/>
  <c r="T2" i="18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/>
  <c r="T15" i="18" a="1"/>
  <c r="T15" i="18" s="1"/>
  <c r="T16" i="18" a="1"/>
  <c r="T16" i="18" s="1"/>
  <c r="T17" i="18" a="1"/>
  <c r="T17" i="18"/>
  <c r="T18" i="18" a="1"/>
  <c r="T18" i="18" s="1"/>
  <c r="T19" i="18" a="1"/>
  <c r="T19" i="18" s="1"/>
  <c r="T20" i="18" a="1"/>
  <c r="T20" i="18"/>
  <c r="T21" i="18" a="1"/>
  <c r="T21" i="18"/>
  <c r="T22" i="18" a="1"/>
  <c r="T22" i="18" s="1"/>
  <c r="T23" i="18" a="1"/>
  <c r="T23" i="18"/>
  <c r="T24" i="18" a="1"/>
  <c r="T24" i="18"/>
  <c r="T25" i="18" a="1"/>
  <c r="T25" i="18" s="1"/>
  <c r="T26" i="18" a="1"/>
  <c r="T26" i="18"/>
  <c r="T27" i="18" a="1"/>
  <c r="T27" i="18"/>
  <c r="T28" i="18" a="1"/>
  <c r="T28" i="18" s="1"/>
  <c r="T29" i="18" a="1"/>
  <c r="T29" i="18"/>
  <c r="T30" i="18" a="1"/>
  <c r="T30" i="18"/>
  <c r="T31" i="18" a="1"/>
  <c r="T31" i="18" s="1"/>
  <c r="T32" i="18" a="1"/>
  <c r="T32" i="18" s="1"/>
  <c r="T33" i="18" a="1"/>
  <c r="T33" i="18" s="1"/>
  <c r="T34" i="18" a="1"/>
  <c r="T34" i="18" s="1"/>
  <c r="T35" i="18" a="1"/>
  <c r="T35" i="18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U9" i="18"/>
  <c r="U11" i="18"/>
  <c r="U27" i="18"/>
  <c r="U33" i="18"/>
  <c r="U45" i="18"/>
  <c r="U81" i="18"/>
  <c r="U93" i="18"/>
  <c r="U101" i="18"/>
  <c r="U105" i="18"/>
  <c r="U109" i="18"/>
  <c r="U153" i="18"/>
  <c r="U171" i="18"/>
  <c r="L2" i="17"/>
  <c r="L12" i="17"/>
  <c r="L22" i="17"/>
  <c r="L32" i="17"/>
  <c r="L42" i="17"/>
  <c r="L52" i="17"/>
  <c r="L62" i="17"/>
  <c r="L72" i="17"/>
  <c r="L73" i="17"/>
  <c r="L74" i="17"/>
  <c r="L75" i="17"/>
  <c r="L76" i="17"/>
  <c r="L77" i="17"/>
  <c r="L132" i="17"/>
  <c r="L133" i="17"/>
  <c r="L134" i="17"/>
  <c r="L135" i="17"/>
  <c r="L136" i="17"/>
  <c r="L137" i="17"/>
  <c r="L192" i="17"/>
  <c r="L193" i="17"/>
  <c r="L194" i="17"/>
  <c r="L195" i="17"/>
  <c r="L196" i="17"/>
  <c r="L197" i="17"/>
  <c r="L252" i="17"/>
  <c r="L253" i="17"/>
  <c r="L254" i="17"/>
  <c r="L255" i="17"/>
  <c r="L256" i="17"/>
  <c r="L257" i="17"/>
  <c r="L3" i="17"/>
  <c r="L13" i="17"/>
  <c r="L23" i="17"/>
  <c r="L33" i="17"/>
  <c r="N33" i="17" s="1" a="1"/>
  <c r="N33" i="17" s="1"/>
  <c r="L43" i="17"/>
  <c r="L53" i="17"/>
  <c r="L63" i="17"/>
  <c r="L78" i="17"/>
  <c r="L79" i="17"/>
  <c r="L80" i="17"/>
  <c r="L81" i="17"/>
  <c r="L82" i="17"/>
  <c r="L83" i="17"/>
  <c r="L138" i="17"/>
  <c r="L139" i="17"/>
  <c r="L140" i="17"/>
  <c r="N140" i="17" s="1" a="1"/>
  <c r="N140" i="17" s="1"/>
  <c r="L141" i="17"/>
  <c r="L142" i="17"/>
  <c r="L143" i="17"/>
  <c r="L198" i="17"/>
  <c r="L199" i="17"/>
  <c r="L200" i="17"/>
  <c r="L201" i="17"/>
  <c r="L202" i="17"/>
  <c r="L203" i="17"/>
  <c r="L258" i="17"/>
  <c r="L259" i="17"/>
  <c r="L260" i="17"/>
  <c r="N260" i="17" s="1" a="1"/>
  <c r="N260" i="17" s="1"/>
  <c r="L261" i="17"/>
  <c r="L262" i="17"/>
  <c r="L263" i="17"/>
  <c r="L4" i="17"/>
  <c r="L14" i="17"/>
  <c r="L24" i="17"/>
  <c r="L34" i="17"/>
  <c r="L44" i="17"/>
  <c r="L54" i="17"/>
  <c r="L64" i="17"/>
  <c r="L84" i="17"/>
  <c r="L85" i="17"/>
  <c r="L86" i="17"/>
  <c r="L87" i="17"/>
  <c r="L88" i="17"/>
  <c r="L89" i="17"/>
  <c r="L144" i="17"/>
  <c r="L145" i="17"/>
  <c r="L146" i="17"/>
  <c r="L147" i="17"/>
  <c r="L148" i="17"/>
  <c r="L149" i="17"/>
  <c r="L204" i="17"/>
  <c r="L205" i="17"/>
  <c r="L206" i="17"/>
  <c r="L207" i="17"/>
  <c r="L208" i="17"/>
  <c r="L209" i="17"/>
  <c r="L264" i="17"/>
  <c r="L265" i="17"/>
  <c r="L266" i="17"/>
  <c r="L267" i="17"/>
  <c r="L268" i="17"/>
  <c r="L269" i="17"/>
  <c r="L5" i="17"/>
  <c r="L15" i="17"/>
  <c r="N138" i="17" s="1" a="1"/>
  <c r="N138" i="17" s="1"/>
  <c r="L25" i="17"/>
  <c r="L35" i="17"/>
  <c r="L45" i="17"/>
  <c r="L55" i="17"/>
  <c r="L65" i="17"/>
  <c r="L90" i="17"/>
  <c r="L91" i="17"/>
  <c r="L92" i="17"/>
  <c r="L93" i="17"/>
  <c r="L94" i="17"/>
  <c r="L95" i="17"/>
  <c r="L150" i="17"/>
  <c r="L151" i="17"/>
  <c r="L152" i="17"/>
  <c r="L153" i="17"/>
  <c r="L154" i="17"/>
  <c r="L155" i="17"/>
  <c r="L210" i="17"/>
  <c r="L211" i="17"/>
  <c r="L212" i="17"/>
  <c r="L213" i="17"/>
  <c r="L214" i="17"/>
  <c r="L215" i="17"/>
  <c r="L270" i="17"/>
  <c r="L271" i="17"/>
  <c r="L272" i="17"/>
  <c r="L273" i="17"/>
  <c r="L274" i="17"/>
  <c r="L275" i="17"/>
  <c r="L6" i="17"/>
  <c r="L16" i="17"/>
  <c r="L26" i="17"/>
  <c r="L36" i="17"/>
  <c r="L46" i="17"/>
  <c r="L56" i="17"/>
  <c r="L66" i="17"/>
  <c r="L96" i="17"/>
  <c r="L97" i="17"/>
  <c r="L98" i="17"/>
  <c r="L99" i="17"/>
  <c r="L100" i="17"/>
  <c r="L101" i="17"/>
  <c r="L156" i="17"/>
  <c r="L157" i="17"/>
  <c r="L158" i="17"/>
  <c r="L159" i="17"/>
  <c r="L160" i="17"/>
  <c r="L161" i="17"/>
  <c r="L216" i="17"/>
  <c r="L217" i="17"/>
  <c r="L218" i="17"/>
  <c r="L219" i="17"/>
  <c r="L220" i="17"/>
  <c r="L221" i="17"/>
  <c r="L276" i="17"/>
  <c r="L277" i="17"/>
  <c r="L278" i="17"/>
  <c r="L279" i="17"/>
  <c r="L280" i="17"/>
  <c r="L281" i="17"/>
  <c r="L7" i="17"/>
  <c r="L17" i="17"/>
  <c r="L27" i="17"/>
  <c r="L37" i="17"/>
  <c r="L47" i="17"/>
  <c r="L57" i="17"/>
  <c r="L67" i="17"/>
  <c r="L102" i="17"/>
  <c r="L103" i="17"/>
  <c r="L104" i="17"/>
  <c r="L105" i="17"/>
  <c r="L106" i="17"/>
  <c r="L107" i="17"/>
  <c r="L162" i="17"/>
  <c r="L163" i="17"/>
  <c r="L164" i="17"/>
  <c r="L165" i="17"/>
  <c r="L166" i="17"/>
  <c r="L167" i="17"/>
  <c r="L222" i="17"/>
  <c r="L223" i="17"/>
  <c r="L224" i="17"/>
  <c r="L225" i="17"/>
  <c r="L226" i="17"/>
  <c r="L227" i="17"/>
  <c r="L282" i="17"/>
  <c r="L283" i="17"/>
  <c r="L284" i="17"/>
  <c r="L285" i="17"/>
  <c r="L286" i="17"/>
  <c r="L287" i="17"/>
  <c r="L8" i="17"/>
  <c r="L18" i="17"/>
  <c r="L28" i="17"/>
  <c r="L38" i="17"/>
  <c r="L48" i="17"/>
  <c r="L58" i="17"/>
  <c r="L68" i="17"/>
  <c r="L108" i="17"/>
  <c r="L109" i="17"/>
  <c r="L110" i="17"/>
  <c r="L111" i="17"/>
  <c r="L112" i="17"/>
  <c r="L113" i="17"/>
  <c r="L168" i="17"/>
  <c r="L169" i="17"/>
  <c r="L170" i="17"/>
  <c r="L171" i="17"/>
  <c r="L172" i="17"/>
  <c r="L173" i="17"/>
  <c r="L228" i="17"/>
  <c r="L229" i="17"/>
  <c r="L230" i="17"/>
  <c r="L231" i="17"/>
  <c r="L232" i="17"/>
  <c r="L233" i="17"/>
  <c r="L288" i="17"/>
  <c r="L289" i="17"/>
  <c r="L290" i="17"/>
  <c r="L291" i="17"/>
  <c r="L292" i="17"/>
  <c r="L293" i="17"/>
  <c r="L9" i="17"/>
  <c r="L19" i="17"/>
  <c r="L29" i="17"/>
  <c r="L39" i="17"/>
  <c r="L49" i="17"/>
  <c r="L59" i="17"/>
  <c r="L69" i="17"/>
  <c r="L114" i="17"/>
  <c r="L115" i="17"/>
  <c r="L116" i="17"/>
  <c r="L117" i="17"/>
  <c r="L118" i="17"/>
  <c r="L119" i="17"/>
  <c r="L174" i="17"/>
  <c r="L175" i="17"/>
  <c r="L176" i="17"/>
  <c r="L177" i="17"/>
  <c r="L178" i="17"/>
  <c r="L179" i="17"/>
  <c r="L234" i="17"/>
  <c r="L235" i="17"/>
  <c r="L236" i="17"/>
  <c r="L237" i="17"/>
  <c r="L238" i="17"/>
  <c r="L239" i="17"/>
  <c r="L294" i="17"/>
  <c r="L295" i="17"/>
  <c r="L296" i="17"/>
  <c r="L297" i="17"/>
  <c r="L298" i="17"/>
  <c r="L299" i="17"/>
  <c r="L10" i="17"/>
  <c r="L20" i="17"/>
  <c r="L30" i="17"/>
  <c r="N259" i="17" s="1" a="1"/>
  <c r="N259" i="17" s="1"/>
  <c r="L40" i="17"/>
  <c r="L50" i="17"/>
  <c r="L60" i="17"/>
  <c r="L70" i="17"/>
  <c r="L120" i="17"/>
  <c r="L121" i="17"/>
  <c r="L122" i="17"/>
  <c r="L123" i="17"/>
  <c r="L124" i="17"/>
  <c r="L125" i="17"/>
  <c r="L180" i="17"/>
  <c r="L181" i="17"/>
  <c r="L182" i="17"/>
  <c r="L183" i="17"/>
  <c r="L184" i="17"/>
  <c r="L185" i="17"/>
  <c r="L240" i="17"/>
  <c r="L241" i="17"/>
  <c r="L242" i="17"/>
  <c r="L243" i="17"/>
  <c r="L244" i="17"/>
  <c r="L245" i="17"/>
  <c r="L300" i="17"/>
  <c r="L301" i="17"/>
  <c r="L302" i="17"/>
  <c r="L303" i="17"/>
  <c r="L304" i="17"/>
  <c r="L305" i="17"/>
  <c r="L11" i="17"/>
  <c r="L21" i="17"/>
  <c r="L31" i="17"/>
  <c r="L41" i="17"/>
  <c r="L51" i="17"/>
  <c r="L61" i="17"/>
  <c r="L71" i="17"/>
  <c r="L126" i="17"/>
  <c r="L127" i="17"/>
  <c r="L128" i="17"/>
  <c r="L129" i="17"/>
  <c r="L130" i="17"/>
  <c r="L131" i="17"/>
  <c r="L186" i="17"/>
  <c r="L187" i="17"/>
  <c r="L188" i="17"/>
  <c r="L189" i="17"/>
  <c r="L190" i="17"/>
  <c r="L191" i="17"/>
  <c r="L246" i="17"/>
  <c r="L247" i="17"/>
  <c r="L248" i="17"/>
  <c r="L249" i="17"/>
  <c r="L250" i="17"/>
  <c r="L251" i="17"/>
  <c r="L306" i="17"/>
  <c r="L307" i="17"/>
  <c r="L308" i="17"/>
  <c r="L309" i="17"/>
  <c r="L310" i="17"/>
  <c r="L311" i="17"/>
  <c r="M2" i="17" a="1"/>
  <c r="M2" i="17" s="1"/>
  <c r="M12" i="17" a="1"/>
  <c r="M12" i="17" s="1"/>
  <c r="M22" i="17" a="1"/>
  <c r="M22" i="17" s="1"/>
  <c r="M32" i="17" a="1"/>
  <c r="M32" i="17" s="1"/>
  <c r="M42" i="17" a="1"/>
  <c r="M42" i="17"/>
  <c r="M52" i="17" a="1"/>
  <c r="M52" i="17" s="1"/>
  <c r="M62" i="17" a="1"/>
  <c r="M62" i="17" s="1"/>
  <c r="M72" i="17" a="1"/>
  <c r="M72" i="17" s="1"/>
  <c r="M73" i="17" a="1"/>
  <c r="M73" i="17" s="1"/>
  <c r="Y73" i="17" s="1"/>
  <c r="Q73" i="17" s="1"/>
  <c r="W73" i="17" s="1"/>
  <c r="M74" i="17" a="1"/>
  <c r="M74" i="17" s="1"/>
  <c r="M75" i="17" a="1"/>
  <c r="M75" i="17" s="1"/>
  <c r="M76" i="17" a="1"/>
  <c r="M76" i="17" s="1"/>
  <c r="M77" i="17" a="1"/>
  <c r="M77" i="17" s="1"/>
  <c r="M132" i="17" a="1"/>
  <c r="M132" i="17" s="1"/>
  <c r="M133" i="17" a="1"/>
  <c r="M133" i="17" s="1"/>
  <c r="M134" i="17" a="1"/>
  <c r="M134" i="17" s="1"/>
  <c r="M135" i="17" a="1"/>
  <c r="M135" i="17" s="1"/>
  <c r="M136" i="17" a="1"/>
  <c r="M136" i="17" s="1"/>
  <c r="M137" i="17" a="1"/>
  <c r="M137" i="17" s="1"/>
  <c r="M192" i="17" a="1"/>
  <c r="M192" i="17" s="1"/>
  <c r="M193" i="17" a="1"/>
  <c r="M193" i="17"/>
  <c r="M194" i="17" a="1"/>
  <c r="M194" i="17" s="1"/>
  <c r="M195" i="17" a="1"/>
  <c r="M195" i="17" s="1"/>
  <c r="M196" i="17" a="1"/>
  <c r="M196" i="17" s="1"/>
  <c r="M197" i="17" a="1"/>
  <c r="M197" i="17" s="1"/>
  <c r="M252" i="17" a="1"/>
  <c r="M252" i="17" s="1"/>
  <c r="M253" i="17" a="1"/>
  <c r="M253" i="17" s="1"/>
  <c r="M254" i="17" a="1"/>
  <c r="M254" i="17" s="1"/>
  <c r="M255" i="17" a="1"/>
  <c r="M255" i="17" s="1"/>
  <c r="M256" i="17" a="1"/>
  <c r="M256" i="17" s="1"/>
  <c r="M257" i="17" a="1"/>
  <c r="M257" i="17" s="1"/>
  <c r="M3" i="17" a="1"/>
  <c r="M3" i="17" s="1"/>
  <c r="M13" i="17" a="1"/>
  <c r="M13" i="17" s="1"/>
  <c r="M23" i="17" a="1"/>
  <c r="M23" i="17" s="1"/>
  <c r="M33" i="17" a="1"/>
  <c r="M33" i="17" s="1"/>
  <c r="M43" i="17" a="1"/>
  <c r="M43" i="17" s="1"/>
  <c r="M53" i="17" a="1"/>
  <c r="M53" i="17" s="1"/>
  <c r="M63" i="17" a="1"/>
  <c r="M63" i="17" s="1"/>
  <c r="M78" i="17" a="1"/>
  <c r="M78" i="17" s="1"/>
  <c r="M79" i="17" a="1"/>
  <c r="M79" i="17" s="1"/>
  <c r="M80" i="17" a="1"/>
  <c r="M80" i="17" s="1"/>
  <c r="M81" i="17" a="1"/>
  <c r="M81" i="17" s="1"/>
  <c r="M82" i="17" a="1"/>
  <c r="M82" i="17" s="1"/>
  <c r="M83" i="17" a="1"/>
  <c r="M83" i="17" s="1"/>
  <c r="M138" i="17" a="1"/>
  <c r="M138" i="17" s="1"/>
  <c r="M139" i="17" a="1"/>
  <c r="M139" i="17" s="1"/>
  <c r="M140" i="17" a="1"/>
  <c r="M140" i="17" s="1"/>
  <c r="M141" i="17" a="1"/>
  <c r="M141" i="17" s="1"/>
  <c r="M142" i="17" a="1"/>
  <c r="M142" i="17" s="1"/>
  <c r="M143" i="17" a="1"/>
  <c r="M143" i="17" s="1"/>
  <c r="M198" i="17" a="1"/>
  <c r="M198" i="17" s="1"/>
  <c r="M199" i="17" a="1"/>
  <c r="M199" i="17" s="1"/>
  <c r="Y199" i="17" s="1"/>
  <c r="Q199" i="17" s="1"/>
  <c r="W199" i="17" s="1"/>
  <c r="M200" i="17" a="1"/>
  <c r="M200" i="17" s="1"/>
  <c r="M201" i="17" a="1"/>
  <c r="M201" i="17" s="1"/>
  <c r="M202" i="17" a="1"/>
  <c r="M202" i="17" s="1"/>
  <c r="M203" i="17" a="1"/>
  <c r="M203" i="17" s="1"/>
  <c r="M258" i="17" a="1"/>
  <c r="M258" i="17" s="1"/>
  <c r="M259" i="17" a="1"/>
  <c r="M259" i="17" s="1"/>
  <c r="M260" i="17" a="1"/>
  <c r="M260" i="17" s="1"/>
  <c r="M261" i="17" a="1"/>
  <c r="M261" i="17" s="1"/>
  <c r="M262" i="17" a="1"/>
  <c r="M262" i="17" s="1"/>
  <c r="M263" i="17" a="1"/>
  <c r="M263" i="17" s="1"/>
  <c r="M4" i="17" a="1"/>
  <c r="M4" i="17" s="1"/>
  <c r="Y4" i="17" s="1"/>
  <c r="Q4" i="17" s="1"/>
  <c r="W4" i="17" s="1"/>
  <c r="M14" i="17" a="1"/>
  <c r="M14" i="17" s="1"/>
  <c r="M24" i="17" a="1"/>
  <c r="M24" i="17" s="1"/>
  <c r="M34" i="17" a="1"/>
  <c r="M34" i="17" s="1"/>
  <c r="M44" i="17" a="1"/>
  <c r="M44" i="17" s="1"/>
  <c r="M54" i="17" a="1"/>
  <c r="M54" i="17" s="1"/>
  <c r="M64" i="17" a="1"/>
  <c r="M64" i="17" s="1"/>
  <c r="M84" i="17" a="1"/>
  <c r="M84" i="17" s="1"/>
  <c r="M85" i="17" a="1"/>
  <c r="M85" i="17" s="1"/>
  <c r="M86" i="17" a="1"/>
  <c r="M86" i="17" s="1"/>
  <c r="M87" i="17" a="1"/>
  <c r="M87" i="17" s="1"/>
  <c r="M88" i="17" a="1"/>
  <c r="M88" i="17" s="1"/>
  <c r="M89" i="17" a="1"/>
  <c r="M89" i="17" s="1"/>
  <c r="M144" i="17" a="1"/>
  <c r="M144" i="17" s="1"/>
  <c r="M145" i="17" a="1"/>
  <c r="M145" i="17"/>
  <c r="M146" i="17" a="1"/>
  <c r="M146" i="17" s="1"/>
  <c r="M147" i="17" a="1"/>
  <c r="M147" i="17" s="1"/>
  <c r="M148" i="17" a="1"/>
  <c r="M148" i="17" s="1"/>
  <c r="M149" i="17" a="1"/>
  <c r="M149" i="17" s="1"/>
  <c r="Y149" i="17" s="1"/>
  <c r="Q149" i="17" s="1"/>
  <c r="W149" i="17" s="1"/>
  <c r="M204" i="17" a="1"/>
  <c r="M204" i="17" s="1"/>
  <c r="M205" i="17" a="1"/>
  <c r="M205" i="17" s="1"/>
  <c r="M206" i="17" a="1"/>
  <c r="M206" i="17" s="1"/>
  <c r="M207" i="17" a="1"/>
  <c r="M207" i="17" s="1"/>
  <c r="M208" i="17" a="1"/>
  <c r="M208" i="17" s="1"/>
  <c r="M209" i="17" a="1"/>
  <c r="M209" i="17" s="1"/>
  <c r="M264" i="17" a="1"/>
  <c r="M264" i="17" s="1"/>
  <c r="M265" i="17" a="1"/>
  <c r="M265" i="17" s="1"/>
  <c r="M266" i="17" a="1"/>
  <c r="M266" i="17" s="1"/>
  <c r="M267" i="17" a="1"/>
  <c r="M267" i="17" s="1"/>
  <c r="M268" i="17" a="1"/>
  <c r="M268" i="17" s="1"/>
  <c r="M269" i="17" a="1"/>
  <c r="M269" i="17" s="1"/>
  <c r="M5" i="17" a="1"/>
  <c r="M5" i="17" s="1"/>
  <c r="M15" i="17" a="1"/>
  <c r="M15" i="17" s="1"/>
  <c r="M25" i="17" a="1"/>
  <c r="M25" i="17" s="1"/>
  <c r="M35" i="17" a="1"/>
  <c r="M35" i="17" s="1"/>
  <c r="M45" i="17" a="1"/>
  <c r="M45" i="17" s="1"/>
  <c r="M55" i="17" a="1"/>
  <c r="M55" i="17" s="1"/>
  <c r="M65" i="17" a="1"/>
  <c r="M65" i="17" s="1"/>
  <c r="M90" i="17" a="1"/>
  <c r="M90" i="17" s="1"/>
  <c r="M91" i="17" a="1"/>
  <c r="M91" i="17" s="1"/>
  <c r="M92" i="17" a="1"/>
  <c r="M92" i="17" s="1"/>
  <c r="M93" i="17" a="1"/>
  <c r="M93" i="17" s="1"/>
  <c r="M94" i="17" a="1"/>
  <c r="M94" i="17" s="1"/>
  <c r="M95" i="17" a="1"/>
  <c r="M95" i="17" s="1"/>
  <c r="M150" i="17" a="1"/>
  <c r="M150" i="17"/>
  <c r="M151" i="17" a="1"/>
  <c r="M151" i="17" s="1"/>
  <c r="M152" i="17" a="1"/>
  <c r="M152" i="17" s="1"/>
  <c r="M153" i="17" a="1"/>
  <c r="M153" i="17"/>
  <c r="M154" i="17" a="1"/>
  <c r="M154" i="17" s="1"/>
  <c r="M155" i="17" a="1"/>
  <c r="M155" i="17" s="1"/>
  <c r="M210" i="17" a="1"/>
  <c r="M210" i="17" s="1"/>
  <c r="M211" i="17" a="1"/>
  <c r="M211" i="17" s="1"/>
  <c r="M212" i="17" a="1"/>
  <c r="M212" i="17" s="1"/>
  <c r="M213" i="17" a="1"/>
  <c r="M213" i="17" s="1"/>
  <c r="M214" i="17" a="1"/>
  <c r="M214" i="17" s="1"/>
  <c r="M215" i="17" a="1"/>
  <c r="M215" i="17" s="1"/>
  <c r="M270" i="17" a="1"/>
  <c r="M270" i="17" s="1"/>
  <c r="M271" i="17" a="1"/>
  <c r="M271" i="17" s="1"/>
  <c r="M272" i="17" a="1"/>
  <c r="M272" i="17" s="1"/>
  <c r="M273" i="17" a="1"/>
  <c r="M273" i="17" s="1"/>
  <c r="M274" i="17" a="1"/>
  <c r="M274" i="17"/>
  <c r="M275" i="17" a="1"/>
  <c r="M275" i="17" s="1"/>
  <c r="M6" i="17" a="1"/>
  <c r="M6" i="17" s="1"/>
  <c r="M16" i="17" a="1"/>
  <c r="M16" i="17" s="1"/>
  <c r="M26" i="17" a="1"/>
  <c r="M26" i="17" s="1"/>
  <c r="M36" i="17" a="1"/>
  <c r="M36" i="17" s="1"/>
  <c r="M46" i="17" a="1"/>
  <c r="M46" i="17" s="1"/>
  <c r="M56" i="17" a="1"/>
  <c r="M56" i="17" s="1"/>
  <c r="M66" i="17" a="1"/>
  <c r="M66" i="17" s="1"/>
  <c r="M96" i="17" a="1"/>
  <c r="M96" i="17" s="1"/>
  <c r="M97" i="17" a="1"/>
  <c r="M97" i="17" s="1"/>
  <c r="M98" i="17" a="1"/>
  <c r="M98" i="17" s="1"/>
  <c r="M99" i="17" a="1"/>
  <c r="M99" i="17" s="1"/>
  <c r="M100" i="17" a="1"/>
  <c r="M100" i="17" s="1"/>
  <c r="M101" i="17" a="1"/>
  <c r="M101" i="17" s="1"/>
  <c r="M156" i="17" a="1"/>
  <c r="M156" i="17" s="1"/>
  <c r="M157" i="17" a="1"/>
  <c r="M157" i="17" s="1"/>
  <c r="M158" i="17" a="1"/>
  <c r="M158" i="17" s="1"/>
  <c r="M159" i="17" a="1"/>
  <c r="M159" i="17" s="1"/>
  <c r="M160" i="17" a="1"/>
  <c r="M160" i="17" s="1"/>
  <c r="M161" i="17" a="1"/>
  <c r="M161" i="17" s="1"/>
  <c r="M216" i="17" a="1"/>
  <c r="M216" i="17" s="1"/>
  <c r="M217" i="17" a="1"/>
  <c r="M217" i="17" s="1"/>
  <c r="M218" i="17" a="1"/>
  <c r="M218" i="17" s="1"/>
  <c r="M219" i="17" a="1"/>
  <c r="M219" i="17" s="1"/>
  <c r="M220" i="17" a="1"/>
  <c r="M220" i="17"/>
  <c r="M221" i="17" a="1"/>
  <c r="M221" i="17" s="1"/>
  <c r="M276" i="17" a="1"/>
  <c r="M276" i="17" s="1"/>
  <c r="M277" i="17" a="1"/>
  <c r="M277" i="17" s="1"/>
  <c r="M278" i="17" a="1"/>
  <c r="M278" i="17"/>
  <c r="M279" i="17" a="1"/>
  <c r="M279" i="17" s="1"/>
  <c r="M280" i="17" a="1"/>
  <c r="M280" i="17" s="1"/>
  <c r="M281" i="17" a="1"/>
  <c r="M281" i="17" s="1"/>
  <c r="M7" i="17" a="1"/>
  <c r="M7" i="17" s="1"/>
  <c r="M17" i="17" a="1"/>
  <c r="M17" i="17" s="1"/>
  <c r="M27" i="17" a="1"/>
  <c r="M27" i="17" s="1"/>
  <c r="M37" i="17" a="1"/>
  <c r="M37" i="17" s="1"/>
  <c r="M47" i="17" a="1"/>
  <c r="M47" i="17" s="1"/>
  <c r="M57" i="17" a="1"/>
  <c r="M57" i="17" s="1"/>
  <c r="M67" i="17" a="1"/>
  <c r="M67" i="17"/>
  <c r="M102" i="17" a="1"/>
  <c r="M102" i="17" s="1"/>
  <c r="M103" i="17" a="1"/>
  <c r="M103" i="17"/>
  <c r="M104" i="17" a="1"/>
  <c r="M104" i="17" s="1"/>
  <c r="M105" i="17" a="1"/>
  <c r="M105" i="17" s="1"/>
  <c r="M106" i="17" a="1"/>
  <c r="M106" i="17" s="1"/>
  <c r="M107" i="17" a="1"/>
  <c r="M107" i="17" s="1"/>
  <c r="M162" i="17" a="1"/>
  <c r="M162" i="17" s="1"/>
  <c r="M163" i="17" a="1"/>
  <c r="M163" i="17" s="1"/>
  <c r="M164" i="17" a="1"/>
  <c r="M164" i="17" s="1"/>
  <c r="M165" i="17" a="1"/>
  <c r="M165" i="17" s="1"/>
  <c r="M166" i="17" a="1"/>
  <c r="M166" i="17" s="1"/>
  <c r="M167" i="17" a="1"/>
  <c r="M167" i="17"/>
  <c r="M222" i="17" a="1"/>
  <c r="M222" i="17" s="1"/>
  <c r="M223" i="17" a="1"/>
  <c r="M223" i="17" s="1"/>
  <c r="M224" i="17" a="1"/>
  <c r="M224" i="17" s="1"/>
  <c r="M225" i="17" a="1"/>
  <c r="M225" i="17"/>
  <c r="M226" i="17" a="1"/>
  <c r="M226" i="17" s="1"/>
  <c r="M227" i="17" a="1"/>
  <c r="M227" i="17" s="1"/>
  <c r="M282" i="17" a="1"/>
  <c r="M282" i="17" s="1"/>
  <c r="M283" i="17" a="1"/>
  <c r="M283" i="17" s="1"/>
  <c r="M284" i="17" a="1"/>
  <c r="M284" i="17" s="1"/>
  <c r="M285" i="17" a="1"/>
  <c r="M285" i="17" s="1"/>
  <c r="Y285" i="17" s="1"/>
  <c r="Q285" i="17" s="1"/>
  <c r="W285" i="17" s="1"/>
  <c r="M286" i="17" a="1"/>
  <c r="M286" i="17" s="1"/>
  <c r="M287" i="17" a="1"/>
  <c r="M287" i="17" s="1"/>
  <c r="M8" i="17" a="1"/>
  <c r="M8" i="17" s="1"/>
  <c r="M18" i="17" a="1"/>
  <c r="M18" i="17" s="1"/>
  <c r="M28" i="17" a="1"/>
  <c r="M28" i="17" s="1"/>
  <c r="M38" i="17" a="1"/>
  <c r="M38" i="17"/>
  <c r="M48" i="17" a="1"/>
  <c r="M48" i="17"/>
  <c r="M58" i="17" a="1"/>
  <c r="M58" i="17" s="1"/>
  <c r="M68" i="17" a="1"/>
  <c r="M68" i="17" s="1"/>
  <c r="M108" i="17" a="1"/>
  <c r="M108" i="17" s="1"/>
  <c r="M109" i="17" a="1"/>
  <c r="M109" i="17" s="1"/>
  <c r="M110" i="17" a="1"/>
  <c r="M110" i="17" s="1"/>
  <c r="M111" i="17" a="1"/>
  <c r="M111" i="17"/>
  <c r="M112" i="17" a="1"/>
  <c r="M112" i="17" s="1"/>
  <c r="M113" i="17" a="1"/>
  <c r="M113" i="17" s="1"/>
  <c r="M168" i="17" a="1"/>
  <c r="M168" i="17" s="1"/>
  <c r="M169" i="17" a="1"/>
  <c r="M169" i="17" s="1"/>
  <c r="M170" i="17" a="1"/>
  <c r="M170" i="17"/>
  <c r="M171" i="17" a="1"/>
  <c r="M171" i="17" s="1"/>
  <c r="M172" i="17" a="1"/>
  <c r="M172" i="17"/>
  <c r="M173" i="17" a="1"/>
  <c r="M173" i="17" s="1"/>
  <c r="M228" i="17" a="1"/>
  <c r="M228" i="17" s="1"/>
  <c r="M229" i="17" a="1"/>
  <c r="M229" i="17"/>
  <c r="M230" i="17" a="1"/>
  <c r="M230" i="17"/>
  <c r="M231" i="17" a="1"/>
  <c r="M231" i="17" s="1"/>
  <c r="M232" i="17" a="1"/>
  <c r="M232" i="17"/>
  <c r="M233" i="17" a="1"/>
  <c r="M233" i="17" s="1"/>
  <c r="M288" i="17" a="1"/>
  <c r="M288" i="17" s="1"/>
  <c r="M289" i="17" a="1"/>
  <c r="M289" i="17" s="1"/>
  <c r="M290" i="17" a="1"/>
  <c r="M290" i="17" s="1"/>
  <c r="M291" i="17" a="1"/>
  <c r="M291" i="17"/>
  <c r="M292" i="17" a="1"/>
  <c r="M292" i="17" s="1"/>
  <c r="M293" i="17" a="1"/>
  <c r="M293" i="17" s="1"/>
  <c r="M9" i="17" a="1"/>
  <c r="M9" i="17" s="1"/>
  <c r="M19" i="17" a="1"/>
  <c r="M19" i="17" s="1"/>
  <c r="M29" i="17" a="1"/>
  <c r="M29" i="17" s="1"/>
  <c r="M39" i="17" a="1"/>
  <c r="M39" i="17" s="1"/>
  <c r="M49" i="17" a="1"/>
  <c r="M49" i="17" s="1"/>
  <c r="M59" i="17" a="1"/>
  <c r="M59" i="17" s="1"/>
  <c r="M69" i="17" a="1"/>
  <c r="M69" i="17" s="1"/>
  <c r="M114" i="17" a="1"/>
  <c r="M114" i="17"/>
  <c r="M115" i="17" a="1"/>
  <c r="M115" i="17" s="1"/>
  <c r="M116" i="17" a="1"/>
  <c r="M116" i="17" s="1"/>
  <c r="M117" i="17" a="1"/>
  <c r="M117" i="17" s="1"/>
  <c r="M118" i="17" a="1"/>
  <c r="M118" i="17" s="1"/>
  <c r="M119" i="17" a="1"/>
  <c r="M119" i="17" s="1"/>
  <c r="M174" i="17" a="1"/>
  <c r="M174" i="17" s="1"/>
  <c r="M175" i="17" a="1"/>
  <c r="M175" i="17" s="1"/>
  <c r="M176" i="17" a="1"/>
  <c r="M176" i="17" s="1"/>
  <c r="M177" i="17" a="1"/>
  <c r="M177" i="17" s="1"/>
  <c r="M178" i="17" a="1"/>
  <c r="M178" i="17" s="1"/>
  <c r="M179" i="17" a="1"/>
  <c r="M179" i="17" s="1"/>
  <c r="M234" i="17" a="1"/>
  <c r="M234" i="17" s="1"/>
  <c r="M235" i="17" a="1"/>
  <c r="M235" i="17" s="1"/>
  <c r="M236" i="17" a="1"/>
  <c r="M236" i="17" s="1"/>
  <c r="M237" i="17" a="1"/>
  <c r="M237" i="17" s="1"/>
  <c r="M238" i="17" a="1"/>
  <c r="M238" i="17" s="1"/>
  <c r="M239" i="17" a="1"/>
  <c r="M239" i="17" s="1"/>
  <c r="M294" i="17" a="1"/>
  <c r="M294" i="17" s="1"/>
  <c r="M295" i="17" a="1"/>
  <c r="M295" i="17" s="1"/>
  <c r="M296" i="17" a="1"/>
  <c r="M296" i="17" s="1"/>
  <c r="M297" i="17" a="1"/>
  <c r="M297" i="17" s="1"/>
  <c r="M298" i="17" a="1"/>
  <c r="M298" i="17" s="1"/>
  <c r="M299" i="17" a="1"/>
  <c r="M299" i="17" s="1"/>
  <c r="M10" i="17" a="1"/>
  <c r="M10" i="17" s="1"/>
  <c r="M20" i="17" a="1"/>
  <c r="M20" i="17" s="1"/>
  <c r="M30" i="17" a="1"/>
  <c r="M30" i="17"/>
  <c r="M40" i="17" a="1"/>
  <c r="M40" i="17" s="1"/>
  <c r="M50" i="17" a="1"/>
  <c r="M50" i="17" s="1"/>
  <c r="M60" i="17" a="1"/>
  <c r="M60" i="17" s="1"/>
  <c r="M70" i="17" a="1"/>
  <c r="M70" i="17" s="1"/>
  <c r="M120" i="17" a="1"/>
  <c r="M120" i="17"/>
  <c r="M121" i="17" a="1"/>
  <c r="M121" i="17" s="1"/>
  <c r="M122" i="17" a="1"/>
  <c r="M122" i="17" s="1"/>
  <c r="M123" i="17" a="1"/>
  <c r="M123" i="17" s="1"/>
  <c r="M124" i="17" a="1"/>
  <c r="M124" i="17" s="1"/>
  <c r="M125" i="17" a="1"/>
  <c r="M125" i="17" s="1"/>
  <c r="M180" i="17" a="1"/>
  <c r="M180" i="17" s="1"/>
  <c r="M181" i="17" a="1"/>
  <c r="M181" i="17" s="1"/>
  <c r="M182" i="17" a="1"/>
  <c r="M182" i="17"/>
  <c r="M183" i="17" a="1"/>
  <c r="M183" i="17" s="1"/>
  <c r="M184" i="17" a="1"/>
  <c r="M184" i="17" s="1"/>
  <c r="M185" i="17" a="1"/>
  <c r="M185" i="17" s="1"/>
  <c r="M240" i="17" a="1"/>
  <c r="M240" i="17" s="1"/>
  <c r="M241" i="17" a="1"/>
  <c r="M241" i="17" s="1"/>
  <c r="M242" i="17" a="1"/>
  <c r="M242" i="17" s="1"/>
  <c r="M243" i="17" a="1"/>
  <c r="M243" i="17" s="1"/>
  <c r="M244" i="17" a="1"/>
  <c r="M244" i="17" s="1"/>
  <c r="M245" i="17" a="1"/>
  <c r="M245" i="17" s="1"/>
  <c r="M300" i="17" a="1"/>
  <c r="M300" i="17"/>
  <c r="M301" i="17" a="1"/>
  <c r="M301" i="17" s="1"/>
  <c r="M302" i="17" a="1"/>
  <c r="M302" i="17" s="1"/>
  <c r="M303" i="17" a="1"/>
  <c r="M303" i="17" s="1"/>
  <c r="M304" i="17" a="1"/>
  <c r="M304" i="17" s="1"/>
  <c r="M305" i="17" a="1"/>
  <c r="M305" i="17" s="1"/>
  <c r="M11" i="17" a="1"/>
  <c r="M11" i="17"/>
  <c r="M21" i="17" a="1"/>
  <c r="M21" i="17" s="1"/>
  <c r="M31" i="17" a="1"/>
  <c r="M31" i="17"/>
  <c r="M41" i="17" a="1"/>
  <c r="M41" i="17" s="1"/>
  <c r="M51" i="17" a="1"/>
  <c r="M51" i="17" s="1"/>
  <c r="M61" i="17" a="1"/>
  <c r="M61" i="17" s="1"/>
  <c r="M71" i="17" a="1"/>
  <c r="M71" i="17" s="1"/>
  <c r="M126" i="17" a="1"/>
  <c r="M126" i="17" s="1"/>
  <c r="M127" i="17" a="1"/>
  <c r="M127" i="17" s="1"/>
  <c r="M128" i="17" a="1"/>
  <c r="M128" i="17" s="1"/>
  <c r="M129" i="17" a="1"/>
  <c r="M129" i="17" s="1"/>
  <c r="M130" i="17" a="1"/>
  <c r="M130" i="17" s="1"/>
  <c r="M131" i="17" a="1"/>
  <c r="M131" i="17"/>
  <c r="M186" i="17" a="1"/>
  <c r="M186" i="17" s="1"/>
  <c r="M187" i="17" a="1"/>
  <c r="M187" i="17" s="1"/>
  <c r="M188" i="17" a="1"/>
  <c r="M188" i="17" s="1"/>
  <c r="M189" i="17" a="1"/>
  <c r="M189" i="17"/>
  <c r="M190" i="17" a="1"/>
  <c r="M190" i="17" s="1"/>
  <c r="Y190" i="17" s="1"/>
  <c r="Q190" i="17" s="1"/>
  <c r="W190" i="17" s="1"/>
  <c r="M191" i="17" a="1"/>
  <c r="M191" i="17" s="1"/>
  <c r="M246" i="17" a="1"/>
  <c r="M246" i="17" s="1"/>
  <c r="M247" i="17" a="1"/>
  <c r="M247" i="17"/>
  <c r="M248" i="17" a="1"/>
  <c r="M248" i="17" s="1"/>
  <c r="M249" i="17" a="1"/>
  <c r="M249" i="17" s="1"/>
  <c r="M250" i="17" a="1"/>
  <c r="M250" i="17" s="1"/>
  <c r="M251" i="17" a="1"/>
  <c r="M251" i="17" s="1"/>
  <c r="M306" i="17" a="1"/>
  <c r="M306" i="17"/>
  <c r="M307" i="17" a="1"/>
  <c r="M307" i="17" s="1"/>
  <c r="M308" i="17" a="1"/>
  <c r="M308" i="17" s="1"/>
  <c r="M309" i="17" a="1"/>
  <c r="M309" i="17" s="1"/>
  <c r="M310" i="17" a="1"/>
  <c r="M310" i="17" s="1"/>
  <c r="M311" i="17" a="1"/>
  <c r="M311" i="17" s="1"/>
  <c r="N83" i="17" a="1"/>
  <c r="N83" i="17" s="1"/>
  <c r="N203" i="17" a="1"/>
  <c r="N203" i="17" s="1"/>
  <c r="N261" i="17" a="1"/>
  <c r="N261" i="17" s="1"/>
  <c r="N263" i="17" a="1"/>
  <c r="N263" i="17" s="1"/>
  <c r="N14" i="17" a="1"/>
  <c r="N14" i="17" s="1"/>
  <c r="N24" i="17" a="1"/>
  <c r="N24" i="17" s="1"/>
  <c r="N34" i="17" a="1"/>
  <c r="N34" i="17" s="1"/>
  <c r="N44" i="17" a="1"/>
  <c r="N44" i="17"/>
  <c r="N54" i="17" a="1"/>
  <c r="N54" i="17" s="1"/>
  <c r="N64" i="17" a="1"/>
  <c r="N64" i="17" s="1"/>
  <c r="N85" i="17" a="1"/>
  <c r="N85" i="17" s="1"/>
  <c r="N86" i="17" a="1"/>
  <c r="N86" i="17" s="1"/>
  <c r="N87" i="17" a="1"/>
  <c r="N87" i="17" s="1"/>
  <c r="N88" i="17" a="1"/>
  <c r="N88" i="17" s="1"/>
  <c r="N89" i="17" a="1"/>
  <c r="N89" i="17" s="1"/>
  <c r="N144" i="17" a="1"/>
  <c r="N144" i="17" s="1"/>
  <c r="N145" i="17" a="1"/>
  <c r="N145" i="17" s="1"/>
  <c r="N146" i="17" a="1"/>
  <c r="N146" i="17" s="1"/>
  <c r="N147" i="17" a="1"/>
  <c r="N147" i="17" s="1"/>
  <c r="N148" i="17" a="1"/>
  <c r="N148" i="17" s="1"/>
  <c r="N149" i="17" a="1"/>
  <c r="N149" i="17" s="1"/>
  <c r="N205" i="17" a="1"/>
  <c r="N205" i="17" s="1"/>
  <c r="N206" i="17" a="1"/>
  <c r="N206" i="17" s="1"/>
  <c r="N207" i="17" a="1"/>
  <c r="N207" i="17" s="1"/>
  <c r="N208" i="17" a="1"/>
  <c r="N208" i="17" s="1"/>
  <c r="N209" i="17" a="1"/>
  <c r="N209" i="17" s="1"/>
  <c r="N264" i="17" a="1"/>
  <c r="N264" i="17" s="1"/>
  <c r="N265" i="17" a="1"/>
  <c r="N265" i="17" s="1"/>
  <c r="N266" i="17" a="1"/>
  <c r="N266" i="17" s="1"/>
  <c r="N267" i="17" a="1"/>
  <c r="N267" i="17" s="1"/>
  <c r="N268" i="17" a="1"/>
  <c r="N268" i="17" s="1"/>
  <c r="N269" i="17" a="1"/>
  <c r="N269" i="17" s="1"/>
  <c r="N5" i="17" a="1"/>
  <c r="N5" i="17" s="1"/>
  <c r="N15" i="17" a="1"/>
  <c r="N15" i="17" s="1"/>
  <c r="N25" i="17" a="1"/>
  <c r="N25" i="17" s="1"/>
  <c r="N35" i="17" a="1"/>
  <c r="N35" i="17" s="1"/>
  <c r="N45" i="17" a="1"/>
  <c r="N45" i="17" s="1"/>
  <c r="N55" i="17" a="1"/>
  <c r="N55" i="17" s="1"/>
  <c r="N65" i="17" a="1"/>
  <c r="N65" i="17" s="1"/>
  <c r="N90" i="17" a="1"/>
  <c r="N90" i="17" s="1"/>
  <c r="N91" i="17" a="1"/>
  <c r="N91" i="17" s="1"/>
  <c r="N92" i="17" a="1"/>
  <c r="N92" i="17" s="1"/>
  <c r="N93" i="17" a="1"/>
  <c r="N93" i="17" s="1"/>
  <c r="N94" i="17" a="1"/>
  <c r="N94" i="17" s="1"/>
  <c r="N95" i="17" a="1"/>
  <c r="N95" i="17" s="1"/>
  <c r="N150" i="17" a="1"/>
  <c r="N150" i="17" s="1"/>
  <c r="N151" i="17" a="1"/>
  <c r="N151" i="17" s="1"/>
  <c r="N152" i="17" a="1"/>
  <c r="N152" i="17" s="1"/>
  <c r="N153" i="17" a="1"/>
  <c r="N153" i="17" s="1"/>
  <c r="N154" i="17" a="1"/>
  <c r="N154" i="17" s="1"/>
  <c r="N155" i="17" a="1"/>
  <c r="N155" i="17" s="1"/>
  <c r="N210" i="17" a="1"/>
  <c r="N210" i="17" s="1"/>
  <c r="N211" i="17" a="1"/>
  <c r="N211" i="17" s="1"/>
  <c r="N212" i="17" a="1"/>
  <c r="N212" i="17" s="1"/>
  <c r="N213" i="17" a="1"/>
  <c r="N213" i="17" s="1"/>
  <c r="N214" i="17" a="1"/>
  <c r="N214" i="17" s="1"/>
  <c r="N215" i="17" a="1"/>
  <c r="N215" i="17" s="1"/>
  <c r="N270" i="17" a="1"/>
  <c r="N270" i="17" s="1"/>
  <c r="N271" i="17" a="1"/>
  <c r="N271" i="17" s="1"/>
  <c r="N272" i="17" a="1"/>
  <c r="N272" i="17" s="1"/>
  <c r="N273" i="17" a="1"/>
  <c r="N273" i="17" s="1"/>
  <c r="N274" i="17" a="1"/>
  <c r="N274" i="17" s="1"/>
  <c r="N275" i="17" a="1"/>
  <c r="N275" i="17" s="1"/>
  <c r="N6" i="17" a="1"/>
  <c r="N6" i="17" s="1"/>
  <c r="N16" i="17" a="1"/>
  <c r="N16" i="17" s="1"/>
  <c r="N26" i="17" a="1"/>
  <c r="N26" i="17" s="1"/>
  <c r="N36" i="17" a="1"/>
  <c r="N36" i="17" s="1"/>
  <c r="N46" i="17" a="1"/>
  <c r="N46" i="17" s="1"/>
  <c r="N56" i="17" a="1"/>
  <c r="N56" i="17" s="1"/>
  <c r="N66" i="17" a="1"/>
  <c r="N66" i="17"/>
  <c r="N96" i="17" a="1"/>
  <c r="N96" i="17" s="1"/>
  <c r="N97" i="17" a="1"/>
  <c r="N97" i="17" s="1"/>
  <c r="N98" i="17" a="1"/>
  <c r="N98" i="17" s="1"/>
  <c r="N99" i="17" a="1"/>
  <c r="N99" i="17" s="1"/>
  <c r="N100" i="17" a="1"/>
  <c r="N100" i="17" s="1"/>
  <c r="N101" i="17" a="1"/>
  <c r="N101" i="17" s="1"/>
  <c r="N156" i="17" a="1"/>
  <c r="N156" i="17"/>
  <c r="N157" i="17" a="1"/>
  <c r="N157" i="17" s="1"/>
  <c r="N158" i="17" a="1"/>
  <c r="N158" i="17" s="1"/>
  <c r="N159" i="17" a="1"/>
  <c r="N159" i="17" s="1"/>
  <c r="N160" i="17" a="1"/>
  <c r="N160" i="17" s="1"/>
  <c r="N161" i="17" a="1"/>
  <c r="N161" i="17" s="1"/>
  <c r="N216" i="17" a="1"/>
  <c r="N216" i="17" s="1"/>
  <c r="N217" i="17" a="1"/>
  <c r="N217" i="17" s="1"/>
  <c r="N218" i="17" a="1"/>
  <c r="N218" i="17" s="1"/>
  <c r="N219" i="17" a="1"/>
  <c r="N219" i="17" s="1"/>
  <c r="N220" i="17" a="1"/>
  <c r="N220" i="17" s="1"/>
  <c r="N221" i="17" a="1"/>
  <c r="N221" i="17" s="1"/>
  <c r="N276" i="17" a="1"/>
  <c r="N276" i="17" s="1"/>
  <c r="N277" i="17" a="1"/>
  <c r="N277" i="17"/>
  <c r="N278" i="17" a="1"/>
  <c r="N278" i="17" s="1"/>
  <c r="N279" i="17" a="1"/>
  <c r="N279" i="17" s="1"/>
  <c r="N280" i="17" a="1"/>
  <c r="N280" i="17" s="1"/>
  <c r="N281" i="17" a="1"/>
  <c r="N281" i="17" s="1"/>
  <c r="N7" i="17" a="1"/>
  <c r="N7" i="17" s="1"/>
  <c r="N17" i="17" a="1"/>
  <c r="N17" i="17" s="1"/>
  <c r="N27" i="17" a="1"/>
  <c r="N27" i="17" s="1"/>
  <c r="N37" i="17" a="1"/>
  <c r="N37" i="17" s="1"/>
  <c r="N47" i="17" a="1"/>
  <c r="N47" i="17" s="1"/>
  <c r="N57" i="17" a="1"/>
  <c r="N57" i="17" s="1"/>
  <c r="N67" i="17" a="1"/>
  <c r="N67" i="17" s="1"/>
  <c r="N102" i="17" a="1"/>
  <c r="N102" i="17" s="1"/>
  <c r="N103" i="17" a="1"/>
  <c r="N103" i="17" s="1"/>
  <c r="N104" i="17" a="1"/>
  <c r="N104" i="17" s="1"/>
  <c r="N105" i="17" a="1"/>
  <c r="N105" i="17" s="1"/>
  <c r="N106" i="17" a="1"/>
  <c r="N106" i="17" s="1"/>
  <c r="N107" i="17" a="1"/>
  <c r="N107" i="17" s="1"/>
  <c r="N162" i="17" a="1"/>
  <c r="N162" i="17" s="1"/>
  <c r="N163" i="17" a="1"/>
  <c r="N163" i="17" s="1"/>
  <c r="N164" i="17" a="1"/>
  <c r="N164" i="17" s="1"/>
  <c r="N165" i="17" a="1"/>
  <c r="N165" i="17" s="1"/>
  <c r="N166" i="17" a="1"/>
  <c r="N166" i="17" s="1"/>
  <c r="N167" i="17" a="1"/>
  <c r="N167" i="17" s="1"/>
  <c r="N222" i="17" a="1"/>
  <c r="N222" i="17" s="1"/>
  <c r="N223" i="17" a="1"/>
  <c r="N223" i="17" s="1"/>
  <c r="N224" i="17" a="1"/>
  <c r="N224" i="17" s="1"/>
  <c r="N225" i="17" a="1"/>
  <c r="N225" i="17" s="1"/>
  <c r="N226" i="17" a="1"/>
  <c r="N226" i="17" s="1"/>
  <c r="N227" i="17" a="1"/>
  <c r="N227" i="17" s="1"/>
  <c r="N282" i="17" a="1"/>
  <c r="N282" i="17" s="1"/>
  <c r="N283" i="17" a="1"/>
  <c r="N283" i="17" s="1"/>
  <c r="N284" i="17" a="1"/>
  <c r="N284" i="17" s="1"/>
  <c r="N285" i="17" a="1"/>
  <c r="N285" i="17" s="1"/>
  <c r="N286" i="17" a="1"/>
  <c r="N286" i="17"/>
  <c r="N287" i="17" a="1"/>
  <c r="N287" i="17" s="1"/>
  <c r="N8" i="17" a="1"/>
  <c r="N8" i="17" s="1"/>
  <c r="N18" i="17" a="1"/>
  <c r="N18" i="17" s="1"/>
  <c r="N28" i="17" a="1"/>
  <c r="N28" i="17" s="1"/>
  <c r="N38" i="17" a="1"/>
  <c r="N38" i="17" s="1"/>
  <c r="N48" i="17" a="1"/>
  <c r="N48" i="17" s="1"/>
  <c r="N58" i="17" a="1"/>
  <c r="N58" i="17" s="1"/>
  <c r="N68" i="17" a="1"/>
  <c r="N68" i="17" s="1"/>
  <c r="N108" i="17" a="1"/>
  <c r="N108" i="17" s="1"/>
  <c r="N109" i="17" a="1"/>
  <c r="N109" i="17" s="1"/>
  <c r="N110" i="17" a="1"/>
  <c r="N110" i="17" s="1"/>
  <c r="N111" i="17" a="1"/>
  <c r="N111" i="17" s="1"/>
  <c r="N112" i="17" a="1"/>
  <c r="N112" i="17" s="1"/>
  <c r="N113" i="17" a="1"/>
  <c r="N113" i="17" s="1"/>
  <c r="N168" i="17" a="1"/>
  <c r="N168" i="17" s="1"/>
  <c r="N169" i="17" a="1"/>
  <c r="N169" i="17" s="1"/>
  <c r="N170" i="17" a="1"/>
  <c r="N170" i="17" s="1"/>
  <c r="N171" i="17" a="1"/>
  <c r="N171" i="17" s="1"/>
  <c r="N172" i="17" a="1"/>
  <c r="N172" i="17" s="1"/>
  <c r="N173" i="17" a="1"/>
  <c r="N173" i="17" s="1"/>
  <c r="N228" i="17" a="1"/>
  <c r="N228" i="17" s="1"/>
  <c r="N229" i="17" a="1"/>
  <c r="N229" i="17" s="1"/>
  <c r="N230" i="17" a="1"/>
  <c r="N230" i="17" s="1"/>
  <c r="N231" i="17" a="1"/>
  <c r="N231" i="17" s="1"/>
  <c r="N232" i="17" a="1"/>
  <c r="N232" i="17" s="1"/>
  <c r="N233" i="17" a="1"/>
  <c r="N233" i="17" s="1"/>
  <c r="N288" i="17" a="1"/>
  <c r="N288" i="17" s="1"/>
  <c r="N289" i="17" a="1"/>
  <c r="N289" i="17" s="1"/>
  <c r="N290" i="17" a="1"/>
  <c r="N290" i="17" s="1"/>
  <c r="N291" i="17" a="1"/>
  <c r="N291" i="17" s="1"/>
  <c r="N292" i="17" a="1"/>
  <c r="N292" i="17" s="1"/>
  <c r="N293" i="17" a="1"/>
  <c r="N293" i="17" s="1"/>
  <c r="N9" i="17" a="1"/>
  <c r="N9" i="17" s="1"/>
  <c r="N19" i="17" a="1"/>
  <c r="N19" i="17" s="1"/>
  <c r="N29" i="17" a="1"/>
  <c r="N29" i="17" s="1"/>
  <c r="N39" i="17" a="1"/>
  <c r="N39" i="17" s="1"/>
  <c r="N49" i="17" a="1"/>
  <c r="N49" i="17" s="1"/>
  <c r="N59" i="17" a="1"/>
  <c r="N59" i="17" s="1"/>
  <c r="N69" i="17" a="1"/>
  <c r="N69" i="17" s="1"/>
  <c r="N114" i="17" a="1"/>
  <c r="N114" i="17" s="1"/>
  <c r="N115" i="17" a="1"/>
  <c r="N115" i="17" s="1"/>
  <c r="N116" i="17" a="1"/>
  <c r="N116" i="17"/>
  <c r="N117" i="17" a="1"/>
  <c r="N117" i="17" s="1"/>
  <c r="N118" i="17" a="1"/>
  <c r="N118" i="17" s="1"/>
  <c r="N119" i="17" a="1"/>
  <c r="N119" i="17" s="1"/>
  <c r="N174" i="17" a="1"/>
  <c r="N174" i="17" s="1"/>
  <c r="N175" i="17" a="1"/>
  <c r="N175" i="17" s="1"/>
  <c r="N176" i="17" a="1"/>
  <c r="N176" i="17" s="1"/>
  <c r="N177" i="17" a="1"/>
  <c r="N177" i="17" s="1"/>
  <c r="N178" i="17" a="1"/>
  <c r="N178" i="17" s="1"/>
  <c r="N179" i="17" a="1"/>
  <c r="N179" i="17" s="1"/>
  <c r="N234" i="17" a="1"/>
  <c r="N234" i="17" s="1"/>
  <c r="N235" i="17" a="1"/>
  <c r="N235" i="17"/>
  <c r="N236" i="17" a="1"/>
  <c r="N236" i="17"/>
  <c r="N237" i="17" a="1"/>
  <c r="N237" i="17" s="1"/>
  <c r="N238" i="17" a="1"/>
  <c r="N238" i="17" s="1"/>
  <c r="N239" i="17" a="1"/>
  <c r="N239" i="17" s="1"/>
  <c r="N294" i="17" a="1"/>
  <c r="N294" i="17" s="1"/>
  <c r="N295" i="17" a="1"/>
  <c r="N295" i="17" s="1"/>
  <c r="N296" i="17" a="1"/>
  <c r="N296" i="17" s="1"/>
  <c r="N297" i="17" a="1"/>
  <c r="N297" i="17" s="1"/>
  <c r="N298" i="17" a="1"/>
  <c r="N298" i="17" s="1"/>
  <c r="N299" i="17" a="1"/>
  <c r="N299" i="17" s="1"/>
  <c r="N10" i="17" a="1"/>
  <c r="N10" i="17" s="1"/>
  <c r="N20" i="17" a="1"/>
  <c r="N20" i="17" s="1"/>
  <c r="N30" i="17" a="1"/>
  <c r="N30" i="17" s="1"/>
  <c r="N40" i="17" a="1"/>
  <c r="N40" i="17" s="1"/>
  <c r="N50" i="17" a="1"/>
  <c r="N50" i="17" s="1"/>
  <c r="N60" i="17" a="1"/>
  <c r="N60" i="17" s="1"/>
  <c r="N70" i="17" a="1"/>
  <c r="N70" i="17" s="1"/>
  <c r="N120" i="17" a="1"/>
  <c r="N120" i="17" s="1"/>
  <c r="N121" i="17" a="1"/>
  <c r="N121" i="17" s="1"/>
  <c r="N122" i="17" a="1"/>
  <c r="N122" i="17" s="1"/>
  <c r="N123" i="17" a="1"/>
  <c r="N123" i="17" s="1"/>
  <c r="N124" i="17" a="1"/>
  <c r="N124" i="17" s="1"/>
  <c r="N125" i="17" a="1"/>
  <c r="N125" i="17" s="1"/>
  <c r="N180" i="17" a="1"/>
  <c r="N180" i="17" s="1"/>
  <c r="N181" i="17" a="1"/>
  <c r="N181" i="17" s="1"/>
  <c r="N182" i="17" a="1"/>
  <c r="N182" i="17"/>
  <c r="N183" i="17" a="1"/>
  <c r="N183" i="17" s="1"/>
  <c r="N184" i="17" a="1"/>
  <c r="N184" i="17" s="1"/>
  <c r="N185" i="17" a="1"/>
  <c r="N185" i="17" s="1"/>
  <c r="N240" i="17" a="1"/>
  <c r="N240" i="17"/>
  <c r="N241" i="17" a="1"/>
  <c r="N241" i="17" s="1"/>
  <c r="N242" i="17" a="1"/>
  <c r="N242" i="17" s="1"/>
  <c r="N243" i="17" a="1"/>
  <c r="N243" i="17" s="1"/>
  <c r="N244" i="17" a="1"/>
  <c r="N244" i="17" s="1"/>
  <c r="N245" i="17" a="1"/>
  <c r="N245" i="17" s="1"/>
  <c r="N300" i="17" a="1"/>
  <c r="N300" i="17" s="1"/>
  <c r="N301" i="17" a="1"/>
  <c r="N301" i="17" s="1"/>
  <c r="N302" i="17" a="1"/>
  <c r="N302" i="17" s="1"/>
  <c r="N303" i="17" a="1"/>
  <c r="N303" i="17" s="1"/>
  <c r="N304" i="17" a="1"/>
  <c r="N304" i="17" s="1"/>
  <c r="N305" i="17" a="1"/>
  <c r="N305" i="17" s="1"/>
  <c r="N11" i="17" a="1"/>
  <c r="N11" i="17" s="1"/>
  <c r="N21" i="17" a="1"/>
  <c r="N21" i="17" s="1"/>
  <c r="N31" i="17" a="1"/>
  <c r="N31" i="17" s="1"/>
  <c r="N41" i="17" a="1"/>
  <c r="N41" i="17" s="1"/>
  <c r="N51" i="17" a="1"/>
  <c r="N51" i="17" s="1"/>
  <c r="N61" i="17" a="1"/>
  <c r="N61" i="17" s="1"/>
  <c r="N71" i="17" a="1"/>
  <c r="N71" i="17" s="1"/>
  <c r="N126" i="17" a="1"/>
  <c r="N126" i="17" s="1"/>
  <c r="N127" i="17" a="1"/>
  <c r="N127" i="17" s="1"/>
  <c r="N128" i="17" a="1"/>
  <c r="N128" i="17" s="1"/>
  <c r="N129" i="17" a="1"/>
  <c r="N129" i="17" s="1"/>
  <c r="N130" i="17" a="1"/>
  <c r="N130" i="17" s="1"/>
  <c r="N131" i="17" a="1"/>
  <c r="N131" i="17" s="1"/>
  <c r="N186" i="17" a="1"/>
  <c r="N186" i="17" s="1"/>
  <c r="N187" i="17" a="1"/>
  <c r="N187" i="17" s="1"/>
  <c r="N188" i="17" a="1"/>
  <c r="N188" i="17" s="1"/>
  <c r="N189" i="17" a="1"/>
  <c r="N189" i="17" s="1"/>
  <c r="N190" i="17" a="1"/>
  <c r="N190" i="17" s="1"/>
  <c r="N191" i="17" a="1"/>
  <c r="N191" i="17"/>
  <c r="N246" i="17" a="1"/>
  <c r="N246" i="17" s="1"/>
  <c r="N247" i="17" a="1"/>
  <c r="N247" i="17" s="1"/>
  <c r="N248" i="17" a="1"/>
  <c r="N248" i="17" s="1"/>
  <c r="N249" i="17" a="1"/>
  <c r="N249" i="17" s="1"/>
  <c r="N250" i="17" a="1"/>
  <c r="N250" i="17" s="1"/>
  <c r="N251" i="17" a="1"/>
  <c r="N251" i="17" s="1"/>
  <c r="N306" i="17" a="1"/>
  <c r="N306" i="17" s="1"/>
  <c r="N307" i="17" a="1"/>
  <c r="N307" i="17" s="1"/>
  <c r="N308" i="17" a="1"/>
  <c r="N308" i="17"/>
  <c r="N309" i="17" a="1"/>
  <c r="N309" i="17" s="1"/>
  <c r="N310" i="17" a="1"/>
  <c r="N310" i="17" s="1"/>
  <c r="N311" i="17" a="1"/>
  <c r="N311" i="17" s="1"/>
  <c r="O2" i="17" a="1"/>
  <c r="O2" i="17" s="1"/>
  <c r="O12" i="17" a="1"/>
  <c r="O12" i="17" s="1"/>
  <c r="O22" i="17" a="1"/>
  <c r="O22" i="17" s="1"/>
  <c r="O32" i="17" a="1"/>
  <c r="O32" i="17" s="1"/>
  <c r="O42" i="17" a="1"/>
  <c r="O42" i="17" s="1"/>
  <c r="O52" i="17" a="1"/>
  <c r="O52" i="17" s="1"/>
  <c r="O62" i="17" a="1"/>
  <c r="O62" i="17" s="1"/>
  <c r="O72" i="17" a="1"/>
  <c r="O72" i="17" s="1"/>
  <c r="O73" i="17" a="1"/>
  <c r="O73" i="17" s="1"/>
  <c r="O74" i="17" a="1"/>
  <c r="O74" i="17" s="1"/>
  <c r="O75" i="17" a="1"/>
  <c r="O75" i="17" s="1"/>
  <c r="O76" i="17" a="1"/>
  <c r="O76" i="17" s="1"/>
  <c r="O77" i="17" a="1"/>
  <c r="O77" i="17" s="1"/>
  <c r="O132" i="17" a="1"/>
  <c r="O132" i="17" s="1"/>
  <c r="O133" i="17" a="1"/>
  <c r="O133" i="17" s="1"/>
  <c r="O134" i="17" a="1"/>
  <c r="O134" i="17" s="1"/>
  <c r="O135" i="17" a="1"/>
  <c r="O135" i="17"/>
  <c r="O136" i="17" a="1"/>
  <c r="O136" i="17" s="1"/>
  <c r="O137" i="17" a="1"/>
  <c r="O137" i="17"/>
  <c r="O192" i="17" a="1"/>
  <c r="O192" i="17" s="1"/>
  <c r="O193" i="17" a="1"/>
  <c r="O193" i="17" s="1"/>
  <c r="O194" i="17" a="1"/>
  <c r="O194" i="17" s="1"/>
  <c r="O195" i="17" a="1"/>
  <c r="O195" i="17" s="1"/>
  <c r="O196" i="17" a="1"/>
  <c r="O196" i="17" s="1"/>
  <c r="O197" i="17" a="1"/>
  <c r="O197" i="17" s="1"/>
  <c r="O252" i="17" a="1"/>
  <c r="O252" i="17" s="1"/>
  <c r="O253" i="17" a="1"/>
  <c r="O253" i="17"/>
  <c r="O254" i="17" a="1"/>
  <c r="O254" i="17" s="1"/>
  <c r="O255" i="17" a="1"/>
  <c r="O255" i="17" s="1"/>
  <c r="O256" i="17" a="1"/>
  <c r="O256" i="17" s="1"/>
  <c r="O257" i="17" a="1"/>
  <c r="O257" i="17" s="1"/>
  <c r="O3" i="17" a="1"/>
  <c r="O3" i="17" s="1"/>
  <c r="O13" i="17" a="1"/>
  <c r="O13" i="17" s="1"/>
  <c r="O23" i="17" a="1"/>
  <c r="O23" i="17" s="1"/>
  <c r="O33" i="17" a="1"/>
  <c r="O33" i="17" s="1"/>
  <c r="O43" i="17" a="1"/>
  <c r="O43" i="17"/>
  <c r="O53" i="17" a="1"/>
  <c r="O53" i="17" s="1"/>
  <c r="O63" i="17" a="1"/>
  <c r="O63" i="17" s="1"/>
  <c r="O78" i="17" a="1"/>
  <c r="O78" i="17" s="1"/>
  <c r="O79" i="17" a="1"/>
  <c r="O79" i="17" s="1"/>
  <c r="O80" i="17" a="1"/>
  <c r="O80" i="17" s="1"/>
  <c r="O81" i="17" a="1"/>
  <c r="O81" i="17" s="1"/>
  <c r="O82" i="17" a="1"/>
  <c r="O82" i="17" s="1"/>
  <c r="O83" i="17" a="1"/>
  <c r="O83" i="17" s="1"/>
  <c r="O138" i="17" a="1"/>
  <c r="O138" i="17"/>
  <c r="O139" i="17" a="1"/>
  <c r="O139" i="17" s="1"/>
  <c r="O140" i="17" a="1"/>
  <c r="O140" i="17"/>
  <c r="O141" i="17" a="1"/>
  <c r="O141" i="17" s="1"/>
  <c r="O142" i="17" a="1"/>
  <c r="O142" i="17" s="1"/>
  <c r="O143" i="17" a="1"/>
  <c r="O143" i="17" s="1"/>
  <c r="O198" i="17" a="1"/>
  <c r="O198" i="17" s="1"/>
  <c r="O199" i="17" a="1"/>
  <c r="O199" i="17" s="1"/>
  <c r="O200" i="17" a="1"/>
  <c r="O200" i="17" s="1"/>
  <c r="O201" i="17" a="1"/>
  <c r="O201" i="17" s="1"/>
  <c r="O202" i="17" a="1"/>
  <c r="O202" i="17" s="1"/>
  <c r="O203" i="17" a="1"/>
  <c r="O203" i="17"/>
  <c r="O258" i="17" a="1"/>
  <c r="O258" i="17" s="1"/>
  <c r="O259" i="17" a="1"/>
  <c r="O259" i="17" s="1"/>
  <c r="O260" i="17" a="1"/>
  <c r="O260" i="17" s="1"/>
  <c r="O261" i="17" a="1"/>
  <c r="O261" i="17" s="1"/>
  <c r="O262" i="17" a="1"/>
  <c r="O262" i="17"/>
  <c r="O263" i="17" a="1"/>
  <c r="O263" i="17" s="1"/>
  <c r="O4" i="17" a="1"/>
  <c r="O4" i="17" s="1"/>
  <c r="O14" i="17" a="1"/>
  <c r="O14" i="17" s="1"/>
  <c r="O24" i="17" a="1"/>
  <c r="O24" i="17" s="1"/>
  <c r="O34" i="17" a="1"/>
  <c r="O34" i="17" s="1"/>
  <c r="O44" i="17" a="1"/>
  <c r="O44" i="17" s="1"/>
  <c r="O54" i="17" a="1"/>
  <c r="O54" i="17" s="1"/>
  <c r="O64" i="17" a="1"/>
  <c r="O64" i="17" s="1"/>
  <c r="O84" i="17" a="1"/>
  <c r="O84" i="17" s="1"/>
  <c r="O85" i="17" a="1"/>
  <c r="O85" i="17" s="1"/>
  <c r="O86" i="17" a="1"/>
  <c r="O86" i="17" s="1"/>
  <c r="O87" i="17" a="1"/>
  <c r="O87" i="17" s="1"/>
  <c r="O88" i="17" a="1"/>
  <c r="O88" i="17" s="1"/>
  <c r="O89" i="17" a="1"/>
  <c r="O89" i="17" s="1"/>
  <c r="O144" i="17" a="1"/>
  <c r="O144" i="17" s="1"/>
  <c r="O145" i="17" a="1"/>
  <c r="O145" i="17" s="1"/>
  <c r="O146" i="17" a="1"/>
  <c r="O146" i="17" s="1"/>
  <c r="O147" i="17" a="1"/>
  <c r="O147" i="17" s="1"/>
  <c r="O148" i="17" a="1"/>
  <c r="O148" i="17" s="1"/>
  <c r="O149" i="17" a="1"/>
  <c r="O149" i="17" s="1"/>
  <c r="O204" i="17" a="1"/>
  <c r="O204" i="17" s="1"/>
  <c r="O205" i="17" a="1"/>
  <c r="O205" i="17" s="1"/>
  <c r="O206" i="17" a="1"/>
  <c r="O206" i="17" s="1"/>
  <c r="O207" i="17" a="1"/>
  <c r="O207" i="17" s="1"/>
  <c r="O208" i="17" a="1"/>
  <c r="O208" i="17" s="1"/>
  <c r="O209" i="17" a="1"/>
  <c r="O209" i="17" s="1"/>
  <c r="O264" i="17" a="1"/>
  <c r="O264" i="17" s="1"/>
  <c r="O265" i="17" a="1"/>
  <c r="O265" i="17"/>
  <c r="O266" i="17" a="1"/>
  <c r="O266" i="17" s="1"/>
  <c r="O267" i="17" a="1"/>
  <c r="O267" i="17" s="1"/>
  <c r="O268" i="17" a="1"/>
  <c r="O268" i="17" s="1"/>
  <c r="O269" i="17" a="1"/>
  <c r="O269" i="17" s="1"/>
  <c r="O5" i="17" a="1"/>
  <c r="O5" i="17" s="1"/>
  <c r="O15" i="17" a="1"/>
  <c r="O15" i="17" s="1"/>
  <c r="O25" i="17" a="1"/>
  <c r="O25" i="17" s="1"/>
  <c r="O35" i="17" a="1"/>
  <c r="O35" i="17" s="1"/>
  <c r="O45" i="17" a="1"/>
  <c r="O45" i="17" s="1"/>
  <c r="O55" i="17" a="1"/>
  <c r="O55" i="17" s="1"/>
  <c r="O65" i="17" a="1"/>
  <c r="O65" i="17" s="1"/>
  <c r="O90" i="17" a="1"/>
  <c r="O90" i="17" s="1"/>
  <c r="O91" i="17" a="1"/>
  <c r="O91" i="17" s="1"/>
  <c r="O92" i="17" a="1"/>
  <c r="O92" i="17" s="1"/>
  <c r="O93" i="17" a="1"/>
  <c r="O93" i="17" s="1"/>
  <c r="O94" i="17" a="1"/>
  <c r="O94" i="17" s="1"/>
  <c r="O95" i="17" a="1"/>
  <c r="O95" i="17" s="1"/>
  <c r="O150" i="17" a="1"/>
  <c r="O150" i="17"/>
  <c r="O151" i="17" a="1"/>
  <c r="O151" i="17" s="1"/>
  <c r="O152" i="17" a="1"/>
  <c r="O152" i="17" s="1"/>
  <c r="O153" i="17" a="1"/>
  <c r="O153" i="17" s="1"/>
  <c r="O154" i="17" a="1"/>
  <c r="O154" i="17" s="1"/>
  <c r="O155" i="17" a="1"/>
  <c r="O155" i="17" s="1"/>
  <c r="O210" i="17" a="1"/>
  <c r="O210" i="17" s="1"/>
  <c r="O211" i="17" a="1"/>
  <c r="O211" i="17" s="1"/>
  <c r="O212" i="17" a="1"/>
  <c r="O212" i="17" s="1"/>
  <c r="O213" i="17" a="1"/>
  <c r="O213" i="17"/>
  <c r="O214" i="17" a="1"/>
  <c r="O214" i="17" s="1"/>
  <c r="O215" i="17" a="1"/>
  <c r="O215" i="17" s="1"/>
  <c r="O270" i="17" a="1"/>
  <c r="O270" i="17" s="1"/>
  <c r="O271" i="17" a="1"/>
  <c r="O271" i="17" s="1"/>
  <c r="O272" i="17" a="1"/>
  <c r="O272" i="17" s="1"/>
  <c r="O273" i="17" a="1"/>
  <c r="O273" i="17" s="1"/>
  <c r="O274" i="17" a="1"/>
  <c r="O274" i="17" s="1"/>
  <c r="O275" i="17" a="1"/>
  <c r="O275" i="17" s="1"/>
  <c r="O6" i="17" a="1"/>
  <c r="O6" i="17" s="1"/>
  <c r="O16" i="17" a="1"/>
  <c r="O16" i="17" s="1"/>
  <c r="O26" i="17" a="1"/>
  <c r="O26" i="17" s="1"/>
  <c r="O36" i="17" a="1"/>
  <c r="O36" i="17" s="1"/>
  <c r="O46" i="17" a="1"/>
  <c r="O46" i="17" s="1"/>
  <c r="O56" i="17" a="1"/>
  <c r="O56" i="17" s="1"/>
  <c r="O66" i="17" a="1"/>
  <c r="O66" i="17" s="1"/>
  <c r="O96" i="17" a="1"/>
  <c r="O96" i="17" s="1"/>
  <c r="O97" i="17" a="1"/>
  <c r="O97" i="17" s="1"/>
  <c r="O98" i="17" a="1"/>
  <c r="O98" i="17" s="1"/>
  <c r="O99" i="17" a="1"/>
  <c r="O99" i="17" s="1"/>
  <c r="O100" i="17" a="1"/>
  <c r="O100" i="17" s="1"/>
  <c r="O101" i="17" a="1"/>
  <c r="O101" i="17" s="1"/>
  <c r="O156" i="17" a="1"/>
  <c r="O156" i="17" s="1"/>
  <c r="O157" i="17" a="1"/>
  <c r="O157" i="17" s="1"/>
  <c r="O158" i="17" a="1"/>
  <c r="O158" i="17" s="1"/>
  <c r="O159" i="17" a="1"/>
  <c r="O159" i="17" s="1"/>
  <c r="O160" i="17" a="1"/>
  <c r="O160" i="17" s="1"/>
  <c r="O161" i="17" a="1"/>
  <c r="O161" i="17" s="1"/>
  <c r="O216" i="17" a="1"/>
  <c r="O216" i="17" s="1"/>
  <c r="O217" i="17" a="1"/>
  <c r="O217" i="17" s="1"/>
  <c r="O218" i="17" a="1"/>
  <c r="O218" i="17"/>
  <c r="O219" i="17" a="1"/>
  <c r="O219" i="17" s="1"/>
  <c r="O220" i="17" a="1"/>
  <c r="O220" i="17" s="1"/>
  <c r="O221" i="17" a="1"/>
  <c r="O221" i="17" s="1"/>
  <c r="O276" i="17" a="1"/>
  <c r="O276" i="17" s="1"/>
  <c r="O277" i="17" a="1"/>
  <c r="O277" i="17" s="1"/>
  <c r="O278" i="17" a="1"/>
  <c r="O278" i="17" s="1"/>
  <c r="O279" i="17" a="1"/>
  <c r="O279" i="17" s="1"/>
  <c r="O280" i="17" a="1"/>
  <c r="O280" i="17" s="1"/>
  <c r="O281" i="17" a="1"/>
  <c r="O281" i="17" s="1"/>
  <c r="O7" i="17" a="1"/>
  <c r="O7" i="17" s="1"/>
  <c r="O17" i="17" a="1"/>
  <c r="O17" i="17" s="1"/>
  <c r="O27" i="17" a="1"/>
  <c r="O27" i="17" s="1"/>
  <c r="O37" i="17" a="1"/>
  <c r="O37" i="17" s="1"/>
  <c r="O47" i="17" a="1"/>
  <c r="O47" i="17" s="1"/>
  <c r="O57" i="17" a="1"/>
  <c r="O57" i="17" s="1"/>
  <c r="O67" i="17" a="1"/>
  <c r="O67" i="17" s="1"/>
  <c r="O102" i="17" a="1"/>
  <c r="O102" i="17" s="1"/>
  <c r="O103" i="17" a="1"/>
  <c r="O103" i="17" s="1"/>
  <c r="O104" i="17" a="1"/>
  <c r="O104" i="17" s="1"/>
  <c r="O105" i="17" a="1"/>
  <c r="O105" i="17" s="1"/>
  <c r="O106" i="17" a="1"/>
  <c r="O106" i="17" s="1"/>
  <c r="O107" i="17" a="1"/>
  <c r="O107" i="17" s="1"/>
  <c r="O162" i="17" a="1"/>
  <c r="O162" i="17" s="1"/>
  <c r="O163" i="17" a="1"/>
  <c r="O163" i="17" s="1"/>
  <c r="O164" i="17" a="1"/>
  <c r="O164" i="17" s="1"/>
  <c r="O165" i="17" a="1"/>
  <c r="O165" i="17" s="1"/>
  <c r="O166" i="17" a="1"/>
  <c r="O166" i="17" s="1"/>
  <c r="O167" i="17" a="1"/>
  <c r="O167" i="17" s="1"/>
  <c r="O222" i="17" a="1"/>
  <c r="O222" i="17"/>
  <c r="O223" i="17" a="1"/>
  <c r="O223" i="17" s="1"/>
  <c r="O224" i="17" a="1"/>
  <c r="O224" i="17" s="1"/>
  <c r="O225" i="17" a="1"/>
  <c r="O225" i="17" s="1"/>
  <c r="O226" i="17" a="1"/>
  <c r="O226" i="17" s="1"/>
  <c r="O227" i="17" a="1"/>
  <c r="O227" i="17" s="1"/>
  <c r="O282" i="17" a="1"/>
  <c r="O282" i="17" s="1"/>
  <c r="O283" i="17" a="1"/>
  <c r="O283" i="17" s="1"/>
  <c r="O284" i="17" a="1"/>
  <c r="O284" i="17" s="1"/>
  <c r="O285" i="17" a="1"/>
  <c r="O285" i="17" s="1"/>
  <c r="O286" i="17" a="1"/>
  <c r="O286" i="17" s="1"/>
  <c r="O287" i="17" a="1"/>
  <c r="O287" i="17" s="1"/>
  <c r="O8" i="17" a="1"/>
  <c r="O8" i="17" s="1"/>
  <c r="O18" i="17" a="1"/>
  <c r="O18" i="17" s="1"/>
  <c r="O28" i="17" a="1"/>
  <c r="O28" i="17" s="1"/>
  <c r="O38" i="17" a="1"/>
  <c r="O38" i="17" s="1"/>
  <c r="O48" i="17" a="1"/>
  <c r="O48" i="17" s="1"/>
  <c r="O58" i="17" a="1"/>
  <c r="O58" i="17" s="1"/>
  <c r="O68" i="17" a="1"/>
  <c r="O68" i="17" s="1"/>
  <c r="O108" i="17" a="1"/>
  <c r="O108" i="17" s="1"/>
  <c r="O109" i="17" a="1"/>
  <c r="O109" i="17" s="1"/>
  <c r="O110" i="17" a="1"/>
  <c r="O110" i="17" s="1"/>
  <c r="O111" i="17" a="1"/>
  <c r="O111" i="17" s="1"/>
  <c r="O112" i="17" a="1"/>
  <c r="O112" i="17" s="1"/>
  <c r="O113" i="17" a="1"/>
  <c r="O113" i="17" s="1"/>
  <c r="O168" i="17" a="1"/>
  <c r="O168" i="17" s="1"/>
  <c r="O169" i="17" a="1"/>
  <c r="O169" i="17" s="1"/>
  <c r="O170" i="17" a="1"/>
  <c r="O170" i="17" s="1"/>
  <c r="O171" i="17" a="1"/>
  <c r="O171" i="17" s="1"/>
  <c r="O172" i="17" a="1"/>
  <c r="O172" i="17" s="1"/>
  <c r="O173" i="17" a="1"/>
  <c r="O173" i="17"/>
  <c r="O228" i="17" a="1"/>
  <c r="O228" i="17" s="1"/>
  <c r="O229" i="17" a="1"/>
  <c r="O229" i="17" s="1"/>
  <c r="O230" i="17" a="1"/>
  <c r="O230" i="17" s="1"/>
  <c r="O231" i="17" a="1"/>
  <c r="O231" i="17"/>
  <c r="O232" i="17" a="1"/>
  <c r="O232" i="17" s="1"/>
  <c r="O233" i="17" a="1"/>
  <c r="O233" i="17" s="1"/>
  <c r="O288" i="17" a="1"/>
  <c r="O288" i="17" s="1"/>
  <c r="O289" i="17" a="1"/>
  <c r="O289" i="17" s="1"/>
  <c r="O290" i="17" a="1"/>
  <c r="O290" i="17" s="1"/>
  <c r="O291" i="17" a="1"/>
  <c r="O291" i="17" s="1"/>
  <c r="O292" i="17" a="1"/>
  <c r="O292" i="17" s="1"/>
  <c r="O293" i="17" a="1"/>
  <c r="O293" i="17" s="1"/>
  <c r="O9" i="17" a="1"/>
  <c r="O9" i="17" s="1"/>
  <c r="O19" i="17" a="1"/>
  <c r="O19" i="17" s="1"/>
  <c r="O29" i="17" a="1"/>
  <c r="O29" i="17" s="1"/>
  <c r="O39" i="17" a="1"/>
  <c r="O39" i="17" s="1"/>
  <c r="O49" i="17" a="1"/>
  <c r="O49" i="17" s="1"/>
  <c r="O59" i="17" a="1"/>
  <c r="O59" i="17" s="1"/>
  <c r="O69" i="17" a="1"/>
  <c r="O69" i="17" s="1"/>
  <c r="O114" i="17" a="1"/>
  <c r="O114" i="17" s="1"/>
  <c r="O115" i="17" a="1"/>
  <c r="O115" i="17" s="1"/>
  <c r="O116" i="17" a="1"/>
  <c r="O116" i="17" s="1"/>
  <c r="O117" i="17" a="1"/>
  <c r="O117" i="17" s="1"/>
  <c r="O118" i="17" a="1"/>
  <c r="O118" i="17" s="1"/>
  <c r="O119" i="17" a="1"/>
  <c r="O119" i="17" s="1"/>
  <c r="O174" i="17" a="1"/>
  <c r="O174" i="17" s="1"/>
  <c r="O175" i="17" a="1"/>
  <c r="O175" i="17" s="1"/>
  <c r="O176" i="17" a="1"/>
  <c r="O176" i="17" s="1"/>
  <c r="O177" i="17" a="1"/>
  <c r="O177" i="17" s="1"/>
  <c r="O178" i="17" a="1"/>
  <c r="O178" i="17" s="1"/>
  <c r="O179" i="17" a="1"/>
  <c r="O179" i="17" s="1"/>
  <c r="O234" i="17" a="1"/>
  <c r="O234" i="17" s="1"/>
  <c r="O235" i="17" a="1"/>
  <c r="O235" i="17" s="1"/>
  <c r="O236" i="17" a="1"/>
  <c r="O236" i="17" s="1"/>
  <c r="O237" i="17" a="1"/>
  <c r="O237" i="17" s="1"/>
  <c r="O238" i="17" a="1"/>
  <c r="O238" i="17" s="1"/>
  <c r="O239" i="17" a="1"/>
  <c r="O239" i="17" s="1"/>
  <c r="O294" i="17" a="1"/>
  <c r="O294" i="17"/>
  <c r="O295" i="17" a="1"/>
  <c r="O295" i="17" s="1"/>
  <c r="O296" i="17" a="1"/>
  <c r="O296" i="17" s="1"/>
  <c r="O297" i="17" a="1"/>
  <c r="O297" i="17" s="1"/>
  <c r="O298" i="17" a="1"/>
  <c r="O298" i="17" s="1"/>
  <c r="O299" i="17" a="1"/>
  <c r="O299" i="17" s="1"/>
  <c r="O10" i="17" a="1"/>
  <c r="O10" i="17" s="1"/>
  <c r="O20" i="17" a="1"/>
  <c r="O20" i="17" s="1"/>
  <c r="O30" i="17" a="1"/>
  <c r="O30" i="17" s="1"/>
  <c r="O40" i="17" a="1"/>
  <c r="O40" i="17" s="1"/>
  <c r="O50" i="17" a="1"/>
  <c r="O50" i="17" s="1"/>
  <c r="O60" i="17" a="1"/>
  <c r="O60" i="17" s="1"/>
  <c r="O70" i="17" a="1"/>
  <c r="O70" i="17" s="1"/>
  <c r="O120" i="17" a="1"/>
  <c r="O120" i="17" s="1"/>
  <c r="O121" i="17" a="1"/>
  <c r="O121" i="17" s="1"/>
  <c r="O122" i="17" a="1"/>
  <c r="O122" i="17" s="1"/>
  <c r="O123" i="17" a="1"/>
  <c r="O123" i="17" s="1"/>
  <c r="O124" i="17" a="1"/>
  <c r="O124" i="17" s="1"/>
  <c r="O125" i="17" a="1"/>
  <c r="O125" i="17" s="1"/>
  <c r="O180" i="17" a="1"/>
  <c r="O180" i="17" s="1"/>
  <c r="O181" i="17" a="1"/>
  <c r="O181" i="17" s="1"/>
  <c r="O182" i="17" a="1"/>
  <c r="O182" i="17" s="1"/>
  <c r="O183" i="17" a="1"/>
  <c r="O183" i="17"/>
  <c r="O184" i="17" a="1"/>
  <c r="O184" i="17" s="1"/>
  <c r="O185" i="17" a="1"/>
  <c r="O185" i="17" s="1"/>
  <c r="O240" i="17" a="1"/>
  <c r="O240" i="17" s="1"/>
  <c r="O241" i="17" a="1"/>
  <c r="O241" i="17" s="1"/>
  <c r="O242" i="17" a="1"/>
  <c r="O242" i="17" s="1"/>
  <c r="O243" i="17" a="1"/>
  <c r="O243" i="17" s="1"/>
  <c r="O244" i="17" a="1"/>
  <c r="O244" i="17" s="1"/>
  <c r="O245" i="17" a="1"/>
  <c r="O245" i="17" s="1"/>
  <c r="O300" i="17" a="1"/>
  <c r="O300" i="17" s="1"/>
  <c r="O301" i="17" a="1"/>
  <c r="O301" i="17" s="1"/>
  <c r="O302" i="17" a="1"/>
  <c r="O302" i="17" s="1"/>
  <c r="O303" i="17" a="1"/>
  <c r="O303" i="17" s="1"/>
  <c r="O304" i="17" a="1"/>
  <c r="O304" i="17" s="1"/>
  <c r="O305" i="17" a="1"/>
  <c r="O305" i="17" s="1"/>
  <c r="O11" i="17" a="1"/>
  <c r="O11" i="17" s="1"/>
  <c r="O21" i="17" a="1"/>
  <c r="O21" i="17" s="1"/>
  <c r="O31" i="17" a="1"/>
  <c r="O31" i="17" s="1"/>
  <c r="O41" i="17" a="1"/>
  <c r="O41" i="17" s="1"/>
  <c r="O51" i="17" a="1"/>
  <c r="O51" i="17" s="1"/>
  <c r="O61" i="17" a="1"/>
  <c r="O61" i="17" s="1"/>
  <c r="O71" i="17" a="1"/>
  <c r="O71" i="17" s="1"/>
  <c r="O126" i="17" a="1"/>
  <c r="O126" i="17" s="1"/>
  <c r="O127" i="17" a="1"/>
  <c r="O127" i="17"/>
  <c r="O128" i="17" a="1"/>
  <c r="O128" i="17" s="1"/>
  <c r="O129" i="17" a="1"/>
  <c r="O129" i="17" s="1"/>
  <c r="O130" i="17" a="1"/>
  <c r="O130" i="17" s="1"/>
  <c r="O131" i="17" a="1"/>
  <c r="O131" i="17" s="1"/>
  <c r="O186" i="17" a="1"/>
  <c r="O186" i="17" s="1"/>
  <c r="O187" i="17" a="1"/>
  <c r="O187" i="17" s="1"/>
  <c r="O188" i="17" a="1"/>
  <c r="O188" i="17" s="1"/>
  <c r="O189" i="17" a="1"/>
  <c r="O189" i="17" s="1"/>
  <c r="O190" i="17" a="1"/>
  <c r="O190" i="17" s="1"/>
  <c r="O191" i="17" a="1"/>
  <c r="O191" i="17" s="1"/>
  <c r="O246" i="17" a="1"/>
  <c r="O246" i="17" s="1"/>
  <c r="O247" i="17" a="1"/>
  <c r="O247" i="17" s="1"/>
  <c r="O248" i="17" a="1"/>
  <c r="O248" i="17" s="1"/>
  <c r="O249" i="17" a="1"/>
  <c r="O249" i="17" s="1"/>
  <c r="O250" i="17" a="1"/>
  <c r="O250" i="17" s="1"/>
  <c r="O251" i="17" a="1"/>
  <c r="O251" i="17" s="1"/>
  <c r="O306" i="17" a="1"/>
  <c r="O306" i="17" s="1"/>
  <c r="O307" i="17" a="1"/>
  <c r="O307" i="17" s="1"/>
  <c r="O308" i="17" a="1"/>
  <c r="O308" i="17" s="1"/>
  <c r="O309" i="17" a="1"/>
  <c r="O309" i="17" s="1"/>
  <c r="O310" i="17" a="1"/>
  <c r="O310" i="17" s="1"/>
  <c r="O311" i="17" a="1"/>
  <c r="O311" i="17" s="1"/>
  <c r="P2" i="17" a="1"/>
  <c r="P2" i="17" s="1"/>
  <c r="P12" i="17" a="1"/>
  <c r="P12" i="17" s="1"/>
  <c r="P22" i="17" a="1"/>
  <c r="P22" i="17" s="1"/>
  <c r="P32" i="17" a="1"/>
  <c r="P32" i="17" s="1"/>
  <c r="P42" i="17" a="1"/>
  <c r="P42" i="17" s="1"/>
  <c r="P52" i="17" a="1"/>
  <c r="P52" i="17" s="1"/>
  <c r="P62" i="17" a="1"/>
  <c r="P62" i="17" s="1"/>
  <c r="P72" i="17" a="1"/>
  <c r="P72" i="17" s="1"/>
  <c r="P73" i="17" a="1"/>
  <c r="P73" i="17" s="1"/>
  <c r="P74" i="17" a="1"/>
  <c r="P74" i="17" s="1"/>
  <c r="P75" i="17" a="1"/>
  <c r="P75" i="17" s="1"/>
  <c r="P76" i="17" a="1"/>
  <c r="P76" i="17" s="1"/>
  <c r="P77" i="17" a="1"/>
  <c r="P77" i="17" s="1"/>
  <c r="P132" i="17" a="1"/>
  <c r="P132" i="17" s="1"/>
  <c r="P133" i="17" a="1"/>
  <c r="P133" i="17" s="1"/>
  <c r="P134" i="17" a="1"/>
  <c r="P134" i="17" s="1"/>
  <c r="P135" i="17" a="1"/>
  <c r="P135" i="17" s="1"/>
  <c r="P136" i="17" a="1"/>
  <c r="P136" i="17" s="1"/>
  <c r="P137" i="17" a="1"/>
  <c r="P137" i="17" s="1"/>
  <c r="P192" i="17" a="1"/>
  <c r="P192" i="17" s="1"/>
  <c r="P193" i="17" a="1"/>
  <c r="P193" i="17"/>
  <c r="P194" i="17" a="1"/>
  <c r="P194" i="17" s="1"/>
  <c r="P195" i="17" a="1"/>
  <c r="P195" i="17"/>
  <c r="P196" i="17" a="1"/>
  <c r="P196" i="17" s="1"/>
  <c r="P197" i="17" a="1"/>
  <c r="P197" i="17" s="1"/>
  <c r="P252" i="17" a="1"/>
  <c r="P252" i="17" s="1"/>
  <c r="P253" i="17" a="1"/>
  <c r="P253" i="17" s="1"/>
  <c r="P254" i="17" a="1"/>
  <c r="P254" i="17" s="1"/>
  <c r="P255" i="17" a="1"/>
  <c r="P255" i="17" s="1"/>
  <c r="P256" i="17" a="1"/>
  <c r="P256" i="17" s="1"/>
  <c r="P257" i="17" a="1"/>
  <c r="P257" i="17" s="1"/>
  <c r="P3" i="17" a="1"/>
  <c r="P3" i="17" s="1"/>
  <c r="P13" i="17" a="1"/>
  <c r="P13" i="17" s="1"/>
  <c r="P23" i="17" a="1"/>
  <c r="P23" i="17" s="1"/>
  <c r="P33" i="17" a="1"/>
  <c r="P33" i="17" s="1"/>
  <c r="P43" i="17" a="1"/>
  <c r="P43" i="17" s="1"/>
  <c r="P53" i="17" a="1"/>
  <c r="P53" i="17"/>
  <c r="P63" i="17" a="1"/>
  <c r="P63" i="17" s="1"/>
  <c r="P78" i="17" a="1"/>
  <c r="P78" i="17" s="1"/>
  <c r="P79" i="17" a="1"/>
  <c r="P79" i="17" s="1"/>
  <c r="P80" i="17" a="1"/>
  <c r="P80" i="17" s="1"/>
  <c r="P81" i="17" a="1"/>
  <c r="P81" i="17" s="1"/>
  <c r="P82" i="17" a="1"/>
  <c r="P82" i="17" s="1"/>
  <c r="P83" i="17" a="1"/>
  <c r="P83" i="17" s="1"/>
  <c r="P138" i="17" a="1"/>
  <c r="P138" i="17" s="1"/>
  <c r="P139" i="17" a="1"/>
  <c r="P139" i="17" s="1"/>
  <c r="P140" i="17" a="1"/>
  <c r="P140" i="17" s="1"/>
  <c r="P141" i="17" a="1"/>
  <c r="P141" i="17" s="1"/>
  <c r="P142" i="17" a="1"/>
  <c r="P142" i="17" s="1"/>
  <c r="P143" i="17" a="1"/>
  <c r="P143" i="17" s="1"/>
  <c r="P198" i="17" a="1"/>
  <c r="P198" i="17" s="1"/>
  <c r="P199" i="17" a="1"/>
  <c r="P199" i="17" s="1"/>
  <c r="P200" i="17" a="1"/>
  <c r="P200" i="17" s="1"/>
  <c r="P201" i="17" a="1"/>
  <c r="P201" i="17" s="1"/>
  <c r="P202" i="17" a="1"/>
  <c r="P202" i="17" s="1"/>
  <c r="P203" i="17" a="1"/>
  <c r="P203" i="17" s="1"/>
  <c r="P258" i="17" a="1"/>
  <c r="P258" i="17" s="1"/>
  <c r="P259" i="17" a="1"/>
  <c r="P259" i="17" s="1"/>
  <c r="P260" i="17" a="1"/>
  <c r="P260" i="17" s="1"/>
  <c r="P261" i="17" a="1"/>
  <c r="P261" i="17" s="1"/>
  <c r="P262" i="17" a="1"/>
  <c r="P262" i="17" s="1"/>
  <c r="P263" i="17" a="1"/>
  <c r="P263" i="17" s="1"/>
  <c r="P4" i="17" a="1"/>
  <c r="P4" i="17" s="1"/>
  <c r="P14" i="17" a="1"/>
  <c r="P14" i="17" s="1"/>
  <c r="P24" i="17" a="1"/>
  <c r="P24" i="17" s="1"/>
  <c r="P34" i="17" a="1"/>
  <c r="P34" i="17" s="1"/>
  <c r="P44" i="17" a="1"/>
  <c r="P44" i="17"/>
  <c r="P54" i="17" a="1"/>
  <c r="P54" i="17" s="1"/>
  <c r="P64" i="17" a="1"/>
  <c r="P64" i="17" s="1"/>
  <c r="P84" i="17" a="1"/>
  <c r="P84" i="17"/>
  <c r="P85" i="17" a="1"/>
  <c r="P85" i="17" s="1"/>
  <c r="P86" i="17" a="1"/>
  <c r="P86" i="17" s="1"/>
  <c r="P87" i="17" a="1"/>
  <c r="P87" i="17" s="1"/>
  <c r="P88" i="17" a="1"/>
  <c r="P88" i="17" s="1"/>
  <c r="P89" i="17" a="1"/>
  <c r="P89" i="17"/>
  <c r="P144" i="17" a="1"/>
  <c r="P144" i="17" s="1"/>
  <c r="P145" i="17" a="1"/>
  <c r="P145" i="17" s="1"/>
  <c r="P146" i="17" a="1"/>
  <c r="P146" i="17" s="1"/>
  <c r="P147" i="17" a="1"/>
  <c r="P147" i="17" s="1"/>
  <c r="P148" i="17" a="1"/>
  <c r="P148" i="17" s="1"/>
  <c r="P149" i="17" a="1"/>
  <c r="P149" i="17" s="1"/>
  <c r="P204" i="17" a="1"/>
  <c r="P204" i="17" s="1"/>
  <c r="P205" i="17" a="1"/>
  <c r="P205" i="17" s="1"/>
  <c r="P206" i="17" a="1"/>
  <c r="P206" i="17" s="1"/>
  <c r="P207" i="17" a="1"/>
  <c r="P207" i="17" s="1"/>
  <c r="P208" i="17" a="1"/>
  <c r="P208" i="17" s="1"/>
  <c r="P209" i="17" a="1"/>
  <c r="P209" i="17" s="1"/>
  <c r="P264" i="17" a="1"/>
  <c r="P264" i="17"/>
  <c r="P265" i="17" a="1"/>
  <c r="P265" i="17" s="1"/>
  <c r="P266" i="17" a="1"/>
  <c r="P266" i="17" s="1"/>
  <c r="P267" i="17" a="1"/>
  <c r="P267" i="17" s="1"/>
  <c r="P268" i="17" a="1"/>
  <c r="P268" i="17" s="1"/>
  <c r="P269" i="17" a="1"/>
  <c r="P269" i="17" s="1"/>
  <c r="P5" i="17" a="1"/>
  <c r="P5" i="17"/>
  <c r="P15" i="17" a="1"/>
  <c r="P15" i="17" s="1"/>
  <c r="P25" i="17" a="1"/>
  <c r="P25" i="17" s="1"/>
  <c r="P35" i="17" a="1"/>
  <c r="P35" i="17" s="1"/>
  <c r="P45" i="17" a="1"/>
  <c r="P45" i="17" s="1"/>
  <c r="P55" i="17" a="1"/>
  <c r="P55" i="17" s="1"/>
  <c r="P65" i="17" a="1"/>
  <c r="P65" i="17" s="1"/>
  <c r="P90" i="17" a="1"/>
  <c r="P90" i="17" s="1"/>
  <c r="P91" i="17" a="1"/>
  <c r="P91" i="17" s="1"/>
  <c r="P92" i="17" a="1"/>
  <c r="P92" i="17" s="1"/>
  <c r="P93" i="17" a="1"/>
  <c r="P93" i="17" s="1"/>
  <c r="P94" i="17" a="1"/>
  <c r="P94" i="17" s="1"/>
  <c r="P95" i="17" a="1"/>
  <c r="P95" i="17" s="1"/>
  <c r="P150" i="17" a="1"/>
  <c r="P150" i="17" s="1"/>
  <c r="P151" i="17" a="1"/>
  <c r="P151" i="17" s="1"/>
  <c r="P152" i="17" a="1"/>
  <c r="P152" i="17" s="1"/>
  <c r="P153" i="17" a="1"/>
  <c r="P153" i="17" s="1"/>
  <c r="P154" i="17" a="1"/>
  <c r="P154" i="17" s="1"/>
  <c r="P155" i="17" a="1"/>
  <c r="P155" i="17" s="1"/>
  <c r="P210" i="17" a="1"/>
  <c r="P210" i="17" s="1"/>
  <c r="P211" i="17" a="1"/>
  <c r="P211" i="17" s="1"/>
  <c r="P212" i="17" a="1"/>
  <c r="P212" i="17" s="1"/>
  <c r="P213" i="17" a="1"/>
  <c r="P213" i="17"/>
  <c r="P214" i="17" a="1"/>
  <c r="P214" i="17" s="1"/>
  <c r="P215" i="17" a="1"/>
  <c r="P215" i="17" s="1"/>
  <c r="P270" i="17" a="1"/>
  <c r="P270" i="17" s="1"/>
  <c r="P271" i="17" a="1"/>
  <c r="P271" i="17" s="1"/>
  <c r="P272" i="17" a="1"/>
  <c r="P272" i="17" s="1"/>
  <c r="P273" i="17" a="1"/>
  <c r="P273" i="17" s="1"/>
  <c r="P274" i="17" a="1"/>
  <c r="P274" i="17" s="1"/>
  <c r="P275" i="17" a="1"/>
  <c r="P275" i="17" s="1"/>
  <c r="P6" i="17" a="1"/>
  <c r="P6" i="17" s="1"/>
  <c r="P16" i="17" a="1"/>
  <c r="P16" i="17" s="1"/>
  <c r="P26" i="17" a="1"/>
  <c r="P26" i="17" s="1"/>
  <c r="P36" i="17" a="1"/>
  <c r="P36" i="17" s="1"/>
  <c r="P46" i="17" a="1"/>
  <c r="P46" i="17" s="1"/>
  <c r="P56" i="17" a="1"/>
  <c r="P56" i="17" s="1"/>
  <c r="P66" i="17" a="1"/>
  <c r="P66" i="17" s="1"/>
  <c r="P96" i="17" a="1"/>
  <c r="P96" i="17" s="1"/>
  <c r="P97" i="17" a="1"/>
  <c r="P97" i="17" s="1"/>
  <c r="P98" i="17" a="1"/>
  <c r="P98" i="17" s="1"/>
  <c r="P99" i="17" a="1"/>
  <c r="P99" i="17"/>
  <c r="P100" i="17" a="1"/>
  <c r="P100" i="17" s="1"/>
  <c r="P101" i="17" a="1"/>
  <c r="P101" i="17" s="1"/>
  <c r="P156" i="17" a="1"/>
  <c r="P156" i="17" s="1"/>
  <c r="P157" i="17" a="1"/>
  <c r="P157" i="17" s="1"/>
  <c r="P158" i="17" a="1"/>
  <c r="P158" i="17" s="1"/>
  <c r="P159" i="17" a="1"/>
  <c r="P159" i="17" s="1"/>
  <c r="P160" i="17" a="1"/>
  <c r="P160" i="17" s="1"/>
  <c r="P161" i="17" a="1"/>
  <c r="P161" i="17" s="1"/>
  <c r="P216" i="17" a="1"/>
  <c r="P216" i="17" s="1"/>
  <c r="P217" i="17" a="1"/>
  <c r="P217" i="17" s="1"/>
  <c r="P218" i="17" a="1"/>
  <c r="P218" i="17" s="1"/>
  <c r="P219" i="17" a="1"/>
  <c r="P219" i="17" s="1"/>
  <c r="P220" i="17" a="1"/>
  <c r="P220" i="17"/>
  <c r="P221" i="17" a="1"/>
  <c r="P221" i="17" s="1"/>
  <c r="P276" i="17" a="1"/>
  <c r="P276" i="17" s="1"/>
  <c r="P277" i="17" a="1"/>
  <c r="P277" i="17" s="1"/>
  <c r="P278" i="17" a="1"/>
  <c r="P278" i="17"/>
  <c r="P279" i="17" a="1"/>
  <c r="P279" i="17" s="1"/>
  <c r="P280" i="17" a="1"/>
  <c r="P280" i="17" s="1"/>
  <c r="P281" i="17" a="1"/>
  <c r="P281" i="17"/>
  <c r="P7" i="17" a="1"/>
  <c r="P7" i="17" s="1"/>
  <c r="P17" i="17" a="1"/>
  <c r="P17" i="17" s="1"/>
  <c r="P27" i="17" a="1"/>
  <c r="P27" i="17" s="1"/>
  <c r="P37" i="17" a="1"/>
  <c r="P37" i="17" s="1"/>
  <c r="P47" i="17" a="1"/>
  <c r="P47" i="17"/>
  <c r="P57" i="17" a="1"/>
  <c r="P57" i="17" s="1"/>
  <c r="P67" i="17" a="1"/>
  <c r="P67" i="17" s="1"/>
  <c r="P102" i="17" a="1"/>
  <c r="P102" i="17" s="1"/>
  <c r="P103" i="17" a="1"/>
  <c r="P103" i="17" s="1"/>
  <c r="P104" i="17" a="1"/>
  <c r="P104" i="17" s="1"/>
  <c r="P105" i="17" a="1"/>
  <c r="P105" i="17" s="1"/>
  <c r="P106" i="17" a="1"/>
  <c r="P106" i="17" s="1"/>
  <c r="P107" i="17" a="1"/>
  <c r="P107" i="17" s="1"/>
  <c r="P162" i="17" a="1"/>
  <c r="P162" i="17" s="1"/>
  <c r="P163" i="17" a="1"/>
  <c r="P163" i="17" s="1"/>
  <c r="P164" i="17" a="1"/>
  <c r="P164" i="17"/>
  <c r="P165" i="17" a="1"/>
  <c r="P165" i="17" s="1"/>
  <c r="P166" i="17" a="1"/>
  <c r="P166" i="17" s="1"/>
  <c r="P167" i="17" a="1"/>
  <c r="P167" i="17" s="1"/>
  <c r="P222" i="17" a="1"/>
  <c r="P222" i="17" s="1"/>
  <c r="P223" i="17" a="1"/>
  <c r="P223" i="17" s="1"/>
  <c r="P224" i="17" a="1"/>
  <c r="P224" i="17" s="1"/>
  <c r="P225" i="17" a="1"/>
  <c r="P225" i="17" s="1"/>
  <c r="P226" i="17" a="1"/>
  <c r="P226" i="17" s="1"/>
  <c r="P227" i="17" a="1"/>
  <c r="P227" i="17" s="1"/>
  <c r="P282" i="17" a="1"/>
  <c r="P282" i="17" s="1"/>
  <c r="P283" i="17" a="1"/>
  <c r="P283" i="17" s="1"/>
  <c r="P284" i="17" a="1"/>
  <c r="P284" i="17" s="1"/>
  <c r="P285" i="17" a="1"/>
  <c r="P285" i="17" s="1"/>
  <c r="P286" i="17" a="1"/>
  <c r="P286" i="17" s="1"/>
  <c r="P287" i="17" a="1"/>
  <c r="P287" i="17" s="1"/>
  <c r="P8" i="17" a="1"/>
  <c r="P8" i="17" s="1"/>
  <c r="P18" i="17" a="1"/>
  <c r="P18" i="17" s="1"/>
  <c r="P28" i="17" a="1"/>
  <c r="P28" i="17" s="1"/>
  <c r="P38" i="17" a="1"/>
  <c r="P38" i="17" s="1"/>
  <c r="P48" i="17" a="1"/>
  <c r="P48" i="17"/>
  <c r="P58" i="17" a="1"/>
  <c r="P58" i="17" s="1"/>
  <c r="P68" i="17" a="1"/>
  <c r="P68" i="17" s="1"/>
  <c r="P108" i="17" a="1"/>
  <c r="P108" i="17" s="1"/>
  <c r="P109" i="17" a="1"/>
  <c r="P109" i="17" s="1"/>
  <c r="P110" i="17" a="1"/>
  <c r="P110" i="17"/>
  <c r="P111" i="17" a="1"/>
  <c r="P111" i="17" s="1"/>
  <c r="P112" i="17" a="1"/>
  <c r="P112" i="17" s="1"/>
  <c r="P113" i="17" a="1"/>
  <c r="P113" i="17" s="1"/>
  <c r="P168" i="17" a="1"/>
  <c r="P168" i="17" s="1"/>
  <c r="P169" i="17" a="1"/>
  <c r="P169" i="17" s="1"/>
  <c r="P170" i="17" a="1"/>
  <c r="P170" i="17" s="1"/>
  <c r="P171" i="17" a="1"/>
  <c r="P171" i="17" s="1"/>
  <c r="P172" i="17" a="1"/>
  <c r="P172" i="17" s="1"/>
  <c r="P173" i="17" a="1"/>
  <c r="P173" i="17" s="1"/>
  <c r="P228" i="17" a="1"/>
  <c r="P228" i="17" s="1"/>
  <c r="P229" i="17" a="1"/>
  <c r="P229" i="17" s="1"/>
  <c r="P230" i="17" a="1"/>
  <c r="P230" i="17" s="1"/>
  <c r="P231" i="17" a="1"/>
  <c r="P231" i="17" s="1"/>
  <c r="P232" i="17" a="1"/>
  <c r="P232" i="17" s="1"/>
  <c r="P233" i="17" a="1"/>
  <c r="P233" i="17" s="1"/>
  <c r="P288" i="17" a="1"/>
  <c r="P288" i="17" s="1"/>
  <c r="P289" i="17" a="1"/>
  <c r="P289" i="17" s="1"/>
  <c r="P290" i="17" a="1"/>
  <c r="P290" i="17" s="1"/>
  <c r="P291" i="17" a="1"/>
  <c r="P291" i="17" s="1"/>
  <c r="P292" i="17" a="1"/>
  <c r="P292" i="17" s="1"/>
  <c r="P293" i="17" a="1"/>
  <c r="P293" i="17" s="1"/>
  <c r="P9" i="17" a="1"/>
  <c r="P9" i="17" s="1"/>
  <c r="P19" i="17" a="1"/>
  <c r="P19" i="17" s="1"/>
  <c r="P29" i="17" a="1"/>
  <c r="P29" i="17" s="1"/>
  <c r="P39" i="17" a="1"/>
  <c r="P39" i="17" s="1"/>
  <c r="P49" i="17" a="1"/>
  <c r="P49" i="17" s="1"/>
  <c r="P59" i="17" a="1"/>
  <c r="P59" i="17" s="1"/>
  <c r="P69" i="17" a="1"/>
  <c r="P69" i="17" s="1"/>
  <c r="P114" i="17" a="1"/>
  <c r="P114" i="17" s="1"/>
  <c r="P115" i="17" a="1"/>
  <c r="P115" i="17" s="1"/>
  <c r="P116" i="17" a="1"/>
  <c r="P116" i="17" s="1"/>
  <c r="P117" i="17" a="1"/>
  <c r="P117" i="17" s="1"/>
  <c r="P118" i="17" a="1"/>
  <c r="P118" i="17" s="1"/>
  <c r="P119" i="17" a="1"/>
  <c r="P119" i="17" s="1"/>
  <c r="P174" i="17" a="1"/>
  <c r="P174" i="17" s="1"/>
  <c r="P175" i="17" a="1"/>
  <c r="P175" i="17" s="1"/>
  <c r="P176" i="17" a="1"/>
  <c r="P176" i="17" s="1"/>
  <c r="P177" i="17" a="1"/>
  <c r="P177" i="17" s="1"/>
  <c r="P178" i="17" a="1"/>
  <c r="P178" i="17" s="1"/>
  <c r="P179" i="17" a="1"/>
  <c r="P179" i="17" s="1"/>
  <c r="P234" i="17" a="1"/>
  <c r="P234" i="17" s="1"/>
  <c r="P235" i="17" a="1"/>
  <c r="P235" i="17" s="1"/>
  <c r="P236" i="17" a="1"/>
  <c r="P236" i="17" s="1"/>
  <c r="P237" i="17" a="1"/>
  <c r="P237" i="17" s="1"/>
  <c r="P238" i="17" a="1"/>
  <c r="P238" i="17" s="1"/>
  <c r="P239" i="17" a="1"/>
  <c r="P239" i="17"/>
  <c r="P294" i="17" a="1"/>
  <c r="P294" i="17"/>
  <c r="P295" i="17" a="1"/>
  <c r="P295" i="17" s="1"/>
  <c r="P296" i="17" a="1"/>
  <c r="P296" i="17" s="1"/>
  <c r="P297" i="17" a="1"/>
  <c r="P297" i="17" s="1"/>
  <c r="P298" i="17" a="1"/>
  <c r="P298" i="17" s="1"/>
  <c r="P299" i="17" a="1"/>
  <c r="P299" i="17" s="1"/>
  <c r="P10" i="17" a="1"/>
  <c r="P10" i="17" s="1"/>
  <c r="P20" i="17" a="1"/>
  <c r="P20" i="17" s="1"/>
  <c r="P30" i="17" a="1"/>
  <c r="P30" i="17" s="1"/>
  <c r="P40" i="17" a="1"/>
  <c r="P40" i="17" s="1"/>
  <c r="P50" i="17" a="1"/>
  <c r="P50" i="17" s="1"/>
  <c r="P60" i="17" a="1"/>
  <c r="P60" i="17" s="1"/>
  <c r="P70" i="17" a="1"/>
  <c r="P70" i="17" s="1"/>
  <c r="P120" i="17" a="1"/>
  <c r="P120" i="17" s="1"/>
  <c r="P121" i="17" a="1"/>
  <c r="P121" i="17" s="1"/>
  <c r="P122" i="17" a="1"/>
  <c r="P122" i="17" s="1"/>
  <c r="P123" i="17" a="1"/>
  <c r="P123" i="17" s="1"/>
  <c r="P124" i="17" a="1"/>
  <c r="P124" i="17" s="1"/>
  <c r="P125" i="17" a="1"/>
  <c r="P125" i="17" s="1"/>
  <c r="P180" i="17" a="1"/>
  <c r="P180" i="17" s="1"/>
  <c r="P181" i="17" a="1"/>
  <c r="P181" i="17" s="1"/>
  <c r="P182" i="17" a="1"/>
  <c r="P182" i="17" s="1"/>
  <c r="P183" i="17" a="1"/>
  <c r="P183" i="17" s="1"/>
  <c r="P184" i="17" a="1"/>
  <c r="P184" i="17"/>
  <c r="P185" i="17" a="1"/>
  <c r="P185" i="17" s="1"/>
  <c r="P240" i="17" a="1"/>
  <c r="P240" i="17" s="1"/>
  <c r="P241" i="17" a="1"/>
  <c r="P241" i="17" s="1"/>
  <c r="P242" i="17" a="1"/>
  <c r="P242" i="17" s="1"/>
  <c r="P243" i="17" a="1"/>
  <c r="P243" i="17" s="1"/>
  <c r="P244" i="17" a="1"/>
  <c r="P244" i="17" s="1"/>
  <c r="P245" i="17" a="1"/>
  <c r="P245" i="17" s="1"/>
  <c r="P300" i="17" a="1"/>
  <c r="P300" i="17" s="1"/>
  <c r="P301" i="17" a="1"/>
  <c r="P301" i="17" s="1"/>
  <c r="P302" i="17" a="1"/>
  <c r="P302" i="17" s="1"/>
  <c r="P303" i="17" a="1"/>
  <c r="P303" i="17" s="1"/>
  <c r="P304" i="17" a="1"/>
  <c r="P304" i="17" s="1"/>
  <c r="P305" i="17" a="1"/>
  <c r="P305" i="17" s="1"/>
  <c r="P11" i="17" a="1"/>
  <c r="P11" i="17" s="1"/>
  <c r="P21" i="17" a="1"/>
  <c r="P21" i="17" s="1"/>
  <c r="P31" i="17" a="1"/>
  <c r="P31" i="17" s="1"/>
  <c r="P41" i="17" a="1"/>
  <c r="P41" i="17"/>
  <c r="P51" i="17" a="1"/>
  <c r="P51" i="17" s="1"/>
  <c r="P61" i="17" a="1"/>
  <c r="P61" i="17" s="1"/>
  <c r="P71" i="17" a="1"/>
  <c r="P71" i="17" s="1"/>
  <c r="P126" i="17" a="1"/>
  <c r="P126" i="17" s="1"/>
  <c r="P127" i="17" a="1"/>
  <c r="P127" i="17" s="1"/>
  <c r="P128" i="17" a="1"/>
  <c r="P128" i="17" s="1"/>
  <c r="P129" i="17" a="1"/>
  <c r="P129" i="17" s="1"/>
  <c r="P130" i="17" a="1"/>
  <c r="P130" i="17" s="1"/>
  <c r="P131" i="17" a="1"/>
  <c r="P131" i="17" s="1"/>
  <c r="P186" i="17" a="1"/>
  <c r="P186" i="17" s="1"/>
  <c r="P187" i="17" a="1"/>
  <c r="P187" i="17" s="1"/>
  <c r="P188" i="17" a="1"/>
  <c r="P188" i="17" s="1"/>
  <c r="P189" i="17" a="1"/>
  <c r="P189" i="17" s="1"/>
  <c r="P190" i="17" a="1"/>
  <c r="P190" i="17" s="1"/>
  <c r="P191" i="17" a="1"/>
  <c r="P191" i="17" s="1"/>
  <c r="P246" i="17" a="1"/>
  <c r="P246" i="17" s="1"/>
  <c r="P247" i="17" a="1"/>
  <c r="P247" i="17" s="1"/>
  <c r="P248" i="17" a="1"/>
  <c r="P248" i="17" s="1"/>
  <c r="P249" i="17" a="1"/>
  <c r="P249" i="17" s="1"/>
  <c r="P250" i="17" a="1"/>
  <c r="P250" i="17" s="1"/>
  <c r="P251" i="17" a="1"/>
  <c r="P251" i="17" s="1"/>
  <c r="P306" i="17" a="1"/>
  <c r="P306" i="17" s="1"/>
  <c r="P307" i="17" a="1"/>
  <c r="P307" i="17" s="1"/>
  <c r="P308" i="17" a="1"/>
  <c r="P308" i="17" s="1"/>
  <c r="P309" i="17" a="1"/>
  <c r="P309" i="17" s="1"/>
  <c r="P310" i="17" a="1"/>
  <c r="P310" i="17" s="1"/>
  <c r="P311" i="17" a="1"/>
  <c r="P311" i="17" s="1"/>
  <c r="R2" i="17" a="1"/>
  <c r="R2" i="17" s="1"/>
  <c r="R12" i="17" a="1"/>
  <c r="R12" i="17" s="1"/>
  <c r="R22" i="17" a="1"/>
  <c r="R22" i="17" s="1"/>
  <c r="R32" i="17" a="1"/>
  <c r="R32" i="17" s="1"/>
  <c r="R42" i="17" a="1"/>
  <c r="R42" i="17" s="1"/>
  <c r="R52" i="17" a="1"/>
  <c r="R52" i="17" s="1"/>
  <c r="R62" i="17" a="1"/>
  <c r="R62" i="17"/>
  <c r="R72" i="17" a="1"/>
  <c r="R72" i="17" s="1"/>
  <c r="R73" i="17" a="1"/>
  <c r="R73" i="17" s="1"/>
  <c r="R74" i="17" a="1"/>
  <c r="R74" i="17" s="1"/>
  <c r="R75" i="17" a="1"/>
  <c r="R75" i="17" s="1"/>
  <c r="R76" i="17" a="1"/>
  <c r="R76" i="17" s="1"/>
  <c r="R77" i="17" a="1"/>
  <c r="R77" i="17" s="1"/>
  <c r="R132" i="17" a="1"/>
  <c r="R132" i="17" s="1"/>
  <c r="R133" i="17" a="1"/>
  <c r="R133" i="17" s="1"/>
  <c r="R134" i="17" a="1"/>
  <c r="R134" i="17" s="1"/>
  <c r="R135" i="17" a="1"/>
  <c r="R135" i="17" s="1"/>
  <c r="R136" i="17" a="1"/>
  <c r="R136" i="17" s="1"/>
  <c r="R137" i="17" a="1"/>
  <c r="R137" i="17" s="1"/>
  <c r="R192" i="17" a="1"/>
  <c r="R192" i="17"/>
  <c r="R193" i="17" a="1"/>
  <c r="R193" i="17" s="1"/>
  <c r="R194" i="17" a="1"/>
  <c r="R194" i="17" s="1"/>
  <c r="R195" i="17" a="1"/>
  <c r="R195" i="17" s="1"/>
  <c r="R196" i="17" a="1"/>
  <c r="R196" i="17" s="1"/>
  <c r="R197" i="17" a="1"/>
  <c r="R197" i="17" s="1"/>
  <c r="R252" i="17" a="1"/>
  <c r="R252" i="17" s="1"/>
  <c r="R253" i="17" a="1"/>
  <c r="R253" i="17" s="1"/>
  <c r="R254" i="17" a="1"/>
  <c r="R254" i="17" s="1"/>
  <c r="R255" i="17" a="1"/>
  <c r="R255" i="17" s="1"/>
  <c r="R256" i="17" a="1"/>
  <c r="R256" i="17"/>
  <c r="R257" i="17" a="1"/>
  <c r="R257" i="17" s="1"/>
  <c r="R3" i="17" a="1"/>
  <c r="R3" i="17" s="1"/>
  <c r="R13" i="17" a="1"/>
  <c r="R13" i="17" s="1"/>
  <c r="R23" i="17" a="1"/>
  <c r="R23" i="17" s="1"/>
  <c r="R33" i="17" a="1"/>
  <c r="R33" i="17" s="1"/>
  <c r="R43" i="17" a="1"/>
  <c r="R43" i="17" s="1"/>
  <c r="R53" i="17" a="1"/>
  <c r="R53" i="17" s="1"/>
  <c r="R63" i="17" a="1"/>
  <c r="R63" i="17" s="1"/>
  <c r="R78" i="17" a="1"/>
  <c r="R78" i="17" s="1"/>
  <c r="R79" i="17" a="1"/>
  <c r="R79" i="17" s="1"/>
  <c r="R80" i="17" a="1"/>
  <c r="R80" i="17" s="1"/>
  <c r="R81" i="17" a="1"/>
  <c r="R81" i="17" s="1"/>
  <c r="R82" i="17" a="1"/>
  <c r="R82" i="17" s="1"/>
  <c r="R83" i="17" a="1"/>
  <c r="R83" i="17" s="1"/>
  <c r="R138" i="17" a="1"/>
  <c r="R138" i="17" s="1"/>
  <c r="R139" i="17" a="1"/>
  <c r="R139" i="17" s="1"/>
  <c r="R140" i="17" a="1"/>
  <c r="R140" i="17" s="1"/>
  <c r="R141" i="17" a="1"/>
  <c r="R141" i="17"/>
  <c r="R142" i="17" a="1"/>
  <c r="R142" i="17" s="1"/>
  <c r="R143" i="17" a="1"/>
  <c r="R143" i="17" s="1"/>
  <c r="R198" i="17" a="1"/>
  <c r="R198" i="17" s="1"/>
  <c r="R199" i="17" a="1"/>
  <c r="R199" i="17" s="1"/>
  <c r="R200" i="17" a="1"/>
  <c r="R200" i="17" s="1"/>
  <c r="R201" i="17" a="1"/>
  <c r="R201" i="17" s="1"/>
  <c r="R202" i="17" a="1"/>
  <c r="R202" i="17" s="1"/>
  <c r="R203" i="17" a="1"/>
  <c r="R203" i="17" s="1"/>
  <c r="R258" i="17" a="1"/>
  <c r="R258" i="17" s="1"/>
  <c r="R259" i="17" a="1"/>
  <c r="R259" i="17" s="1"/>
  <c r="R260" i="17" a="1"/>
  <c r="R260" i="17" s="1"/>
  <c r="R261" i="17" a="1"/>
  <c r="R261" i="17" s="1"/>
  <c r="R262" i="17" a="1"/>
  <c r="R262" i="17"/>
  <c r="R263" i="17" a="1"/>
  <c r="R263" i="17" s="1"/>
  <c r="R4" i="17" a="1"/>
  <c r="R4" i="17" s="1"/>
  <c r="R14" i="17" a="1"/>
  <c r="R14" i="17" s="1"/>
  <c r="R24" i="17" a="1"/>
  <c r="R24" i="17"/>
  <c r="R34" i="17" a="1"/>
  <c r="R34" i="17" s="1"/>
  <c r="R44" i="17" a="1"/>
  <c r="R44" i="17" s="1"/>
  <c r="R54" i="17" a="1"/>
  <c r="R54" i="17" s="1"/>
  <c r="R64" i="17" a="1"/>
  <c r="R64" i="17" s="1"/>
  <c r="R84" i="17" a="1"/>
  <c r="R84" i="17" s="1"/>
  <c r="R85" i="17" a="1"/>
  <c r="R85" i="17" s="1"/>
  <c r="R86" i="17" a="1"/>
  <c r="R86" i="17" s="1"/>
  <c r="R87" i="17" a="1"/>
  <c r="R87" i="17" s="1"/>
  <c r="R88" i="17" a="1"/>
  <c r="R88" i="17" s="1"/>
  <c r="R89" i="17" a="1"/>
  <c r="R89" i="17" s="1"/>
  <c r="R144" i="17" a="1"/>
  <c r="R144" i="17" s="1"/>
  <c r="R145" i="17" a="1"/>
  <c r="R145" i="17" s="1"/>
  <c r="R146" i="17" a="1"/>
  <c r="R146" i="17"/>
  <c r="R147" i="17" a="1"/>
  <c r="R147" i="17" s="1"/>
  <c r="R148" i="17" a="1"/>
  <c r="R148" i="17" s="1"/>
  <c r="R149" i="17" a="1"/>
  <c r="R149" i="17" s="1"/>
  <c r="R204" i="17" a="1"/>
  <c r="R204" i="17" s="1"/>
  <c r="R205" i="17" a="1"/>
  <c r="R205" i="17" s="1"/>
  <c r="R206" i="17" a="1"/>
  <c r="R206" i="17" s="1"/>
  <c r="R207" i="17" a="1"/>
  <c r="R207" i="17" s="1"/>
  <c r="R208" i="17" a="1"/>
  <c r="R208" i="17" s="1"/>
  <c r="R209" i="17" a="1"/>
  <c r="R209" i="17"/>
  <c r="R264" i="17" a="1"/>
  <c r="R264" i="17" s="1"/>
  <c r="R265" i="17" a="1"/>
  <c r="R265" i="17" s="1"/>
  <c r="R266" i="17" a="1"/>
  <c r="R266" i="17" s="1"/>
  <c r="R267" i="17" a="1"/>
  <c r="R267" i="17" s="1"/>
  <c r="R268" i="17" a="1"/>
  <c r="R268" i="17" s="1"/>
  <c r="R269" i="17" a="1"/>
  <c r="R269" i="17" s="1"/>
  <c r="R5" i="17" a="1"/>
  <c r="R5" i="17" s="1"/>
  <c r="R15" i="17" a="1"/>
  <c r="R15" i="17" s="1"/>
  <c r="R25" i="17" a="1"/>
  <c r="R25" i="17" s="1"/>
  <c r="R35" i="17" a="1"/>
  <c r="R35" i="17" s="1"/>
  <c r="R45" i="17" a="1"/>
  <c r="R45" i="17" s="1"/>
  <c r="R55" i="17" a="1"/>
  <c r="R55" i="17" s="1"/>
  <c r="R65" i="17" a="1"/>
  <c r="R65" i="17" s="1"/>
  <c r="R90" i="17" a="1"/>
  <c r="R90" i="17" s="1"/>
  <c r="R91" i="17" a="1"/>
  <c r="R91" i="17" s="1"/>
  <c r="R92" i="17" a="1"/>
  <c r="R92" i="17" s="1"/>
  <c r="R93" i="17" a="1"/>
  <c r="R93" i="17" s="1"/>
  <c r="R94" i="17" a="1"/>
  <c r="R94" i="17" s="1"/>
  <c r="R95" i="17" a="1"/>
  <c r="R95" i="17" s="1"/>
  <c r="R150" i="17" a="1"/>
  <c r="R150" i="17" s="1"/>
  <c r="R151" i="17" a="1"/>
  <c r="R151" i="17" s="1"/>
  <c r="R152" i="17" a="1"/>
  <c r="R152" i="17" s="1"/>
  <c r="R153" i="17" a="1"/>
  <c r="R153" i="17" s="1"/>
  <c r="R154" i="17" a="1"/>
  <c r="R154" i="17" s="1"/>
  <c r="R155" i="17" a="1"/>
  <c r="R155" i="17" s="1"/>
  <c r="R210" i="17" a="1"/>
  <c r="R210" i="17" s="1"/>
  <c r="R211" i="17" a="1"/>
  <c r="R211" i="17" s="1"/>
  <c r="R212" i="17" a="1"/>
  <c r="R212" i="17" s="1"/>
  <c r="R213" i="17" a="1"/>
  <c r="R213" i="17" s="1"/>
  <c r="R214" i="17" a="1"/>
  <c r="R214" i="17" s="1"/>
  <c r="R215" i="17" a="1"/>
  <c r="R215" i="17" s="1"/>
  <c r="R270" i="17" a="1"/>
  <c r="R270" i="17" s="1"/>
  <c r="R271" i="17" a="1"/>
  <c r="R271" i="17" s="1"/>
  <c r="R272" i="17" a="1"/>
  <c r="R272" i="17" s="1"/>
  <c r="R273" i="17" a="1"/>
  <c r="R273" i="17" s="1"/>
  <c r="R274" i="17" a="1"/>
  <c r="R274" i="17" s="1"/>
  <c r="R275" i="17" a="1"/>
  <c r="R275" i="17" s="1"/>
  <c r="R6" i="17" a="1"/>
  <c r="R6" i="17" s="1"/>
  <c r="R16" i="17" a="1"/>
  <c r="R16" i="17" s="1"/>
  <c r="R26" i="17" a="1"/>
  <c r="R26" i="17" s="1"/>
  <c r="R36" i="17" a="1"/>
  <c r="R36" i="17" s="1"/>
  <c r="R46" i="17" a="1"/>
  <c r="R46" i="17" s="1"/>
  <c r="R56" i="17" a="1"/>
  <c r="R56" i="17" s="1"/>
  <c r="R66" i="17" a="1"/>
  <c r="R66" i="17" s="1"/>
  <c r="R96" i="17" a="1"/>
  <c r="R96" i="17" s="1"/>
  <c r="R97" i="17" a="1"/>
  <c r="R97" i="17" s="1"/>
  <c r="R98" i="17" a="1"/>
  <c r="R98" i="17" s="1"/>
  <c r="R99" i="17" a="1"/>
  <c r="R99" i="17" s="1"/>
  <c r="R100" i="17" a="1"/>
  <c r="R100" i="17" s="1"/>
  <c r="R101" i="17" a="1"/>
  <c r="R101" i="17" s="1"/>
  <c r="R156" i="17" a="1"/>
  <c r="R156" i="17" s="1"/>
  <c r="R157" i="17" a="1"/>
  <c r="R157" i="17" s="1"/>
  <c r="R158" i="17" a="1"/>
  <c r="R158" i="17" s="1"/>
  <c r="R159" i="17" a="1"/>
  <c r="R159" i="17" s="1"/>
  <c r="R160" i="17" a="1"/>
  <c r="R160" i="17" s="1"/>
  <c r="R161" i="17" a="1"/>
  <c r="R161" i="17" s="1"/>
  <c r="R216" i="17" a="1"/>
  <c r="R216" i="17" s="1"/>
  <c r="R217" i="17" a="1"/>
  <c r="R217" i="17" s="1"/>
  <c r="R218" i="17" a="1"/>
  <c r="R218" i="17" s="1"/>
  <c r="R219" i="17" a="1"/>
  <c r="R219" i="17" s="1"/>
  <c r="R220" i="17" a="1"/>
  <c r="R220" i="17" s="1"/>
  <c r="R221" i="17" a="1"/>
  <c r="R221" i="17" s="1"/>
  <c r="R276" i="17" a="1"/>
  <c r="R276" i="17" s="1"/>
  <c r="R277" i="17" a="1"/>
  <c r="R277" i="17" s="1"/>
  <c r="R278" i="17" a="1"/>
  <c r="R278" i="17" s="1"/>
  <c r="R279" i="17" a="1"/>
  <c r="R279" i="17" s="1"/>
  <c r="R280" i="17" a="1"/>
  <c r="R280" i="17" s="1"/>
  <c r="R281" i="17" a="1"/>
  <c r="R281" i="17" s="1"/>
  <c r="R7" i="17" a="1"/>
  <c r="R7" i="17" s="1"/>
  <c r="R17" i="17" a="1"/>
  <c r="R17" i="17" s="1"/>
  <c r="R27" i="17" a="1"/>
  <c r="R27" i="17" s="1"/>
  <c r="R37" i="17" a="1"/>
  <c r="R37" i="17" s="1"/>
  <c r="R47" i="17" a="1"/>
  <c r="R47" i="17" s="1"/>
  <c r="R57" i="17" a="1"/>
  <c r="R57" i="17" s="1"/>
  <c r="R67" i="17" a="1"/>
  <c r="R67" i="17" s="1"/>
  <c r="R102" i="17" a="1"/>
  <c r="R102" i="17" s="1"/>
  <c r="R103" i="17" a="1"/>
  <c r="R103" i="17" s="1"/>
  <c r="R104" i="17" a="1"/>
  <c r="R104" i="17" s="1"/>
  <c r="R105" i="17" a="1"/>
  <c r="R105" i="17" s="1"/>
  <c r="R106" i="17" a="1"/>
  <c r="R106" i="17" s="1"/>
  <c r="R107" i="17" a="1"/>
  <c r="R107" i="17" s="1"/>
  <c r="R162" i="17" a="1"/>
  <c r="R162" i="17" s="1"/>
  <c r="R163" i="17" a="1"/>
  <c r="R163" i="17" s="1"/>
  <c r="R164" i="17" a="1"/>
  <c r="R164" i="17" s="1"/>
  <c r="R165" i="17" a="1"/>
  <c r="R165" i="17" s="1"/>
  <c r="R166" i="17" a="1"/>
  <c r="R166" i="17" s="1"/>
  <c r="R167" i="17" a="1"/>
  <c r="R167" i="17" s="1"/>
  <c r="R222" i="17" a="1"/>
  <c r="R222" i="17" s="1"/>
  <c r="R223" i="17" a="1"/>
  <c r="R223" i="17"/>
  <c r="R224" i="17" a="1"/>
  <c r="R224" i="17" s="1"/>
  <c r="R225" i="17" a="1"/>
  <c r="R225" i="17" s="1"/>
  <c r="R226" i="17" a="1"/>
  <c r="R226" i="17"/>
  <c r="R227" i="17" a="1"/>
  <c r="R227" i="17" s="1"/>
  <c r="R282" i="17" a="1"/>
  <c r="R282" i="17" s="1"/>
  <c r="R283" i="17" a="1"/>
  <c r="R283" i="17" s="1"/>
  <c r="R284" i="17" a="1"/>
  <c r="R284" i="17" s="1"/>
  <c r="R285" i="17" a="1"/>
  <c r="R285" i="17" s="1"/>
  <c r="R286" i="17" a="1"/>
  <c r="R286" i="17" s="1"/>
  <c r="R287" i="17" a="1"/>
  <c r="R287" i="17" s="1"/>
  <c r="R8" i="17" a="1"/>
  <c r="R8" i="17" s="1"/>
  <c r="R18" i="17" a="1"/>
  <c r="R18" i="17" s="1"/>
  <c r="R28" i="17" a="1"/>
  <c r="R28" i="17" s="1"/>
  <c r="R38" i="17" a="1"/>
  <c r="R38" i="17" s="1"/>
  <c r="R48" i="17" a="1"/>
  <c r="R48" i="17" s="1"/>
  <c r="R58" i="17" a="1"/>
  <c r="R58" i="17" s="1"/>
  <c r="R68" i="17" a="1"/>
  <c r="R68" i="17" s="1"/>
  <c r="R108" i="17" a="1"/>
  <c r="R108" i="17" s="1"/>
  <c r="R109" i="17" a="1"/>
  <c r="R109" i="17" s="1"/>
  <c r="R110" i="17" a="1"/>
  <c r="R110" i="17" s="1"/>
  <c r="R111" i="17" a="1"/>
  <c r="R111" i="17"/>
  <c r="R112" i="17" a="1"/>
  <c r="R112" i="17" s="1"/>
  <c r="R113" i="17" a="1"/>
  <c r="R113" i="17" s="1"/>
  <c r="R168" i="17" a="1"/>
  <c r="R168" i="17" s="1"/>
  <c r="R169" i="17" a="1"/>
  <c r="R169" i="17" s="1"/>
  <c r="R170" i="17" a="1"/>
  <c r="R170" i="17" s="1"/>
  <c r="R171" i="17" a="1"/>
  <c r="R171" i="17" s="1"/>
  <c r="R172" i="17" a="1"/>
  <c r="R172" i="17" s="1"/>
  <c r="R173" i="17" a="1"/>
  <c r="R173" i="17" s="1"/>
  <c r="R228" i="17" a="1"/>
  <c r="R228" i="17" s="1"/>
  <c r="R229" i="17" a="1"/>
  <c r="R229" i="17" s="1"/>
  <c r="R230" i="17" a="1"/>
  <c r="R230" i="17" s="1"/>
  <c r="R231" i="17" a="1"/>
  <c r="R231" i="17" s="1"/>
  <c r="R232" i="17" a="1"/>
  <c r="R232" i="17" s="1"/>
  <c r="R233" i="17" a="1"/>
  <c r="R233" i="17" s="1"/>
  <c r="R288" i="17" a="1"/>
  <c r="R288" i="17" s="1"/>
  <c r="R289" i="17" a="1"/>
  <c r="R289" i="17" s="1"/>
  <c r="R290" i="17" a="1"/>
  <c r="R290" i="17" s="1"/>
  <c r="R291" i="17" a="1"/>
  <c r="R291" i="17" s="1"/>
  <c r="R292" i="17" a="1"/>
  <c r="R292" i="17" s="1"/>
  <c r="R293" i="17" a="1"/>
  <c r="R293" i="17" s="1"/>
  <c r="R9" i="17" a="1"/>
  <c r="R9" i="17" s="1"/>
  <c r="R19" i="17" a="1"/>
  <c r="R19" i="17" s="1"/>
  <c r="R29" i="17" a="1"/>
  <c r="R29" i="17" s="1"/>
  <c r="R39" i="17" a="1"/>
  <c r="R39" i="17" s="1"/>
  <c r="R49" i="17" a="1"/>
  <c r="R49" i="17" s="1"/>
  <c r="R59" i="17" a="1"/>
  <c r="R59" i="17" s="1"/>
  <c r="R69" i="17" a="1"/>
  <c r="R69" i="17" s="1"/>
  <c r="R114" i="17" a="1"/>
  <c r="R114" i="17" s="1"/>
  <c r="R115" i="17" a="1"/>
  <c r="R115" i="17" s="1"/>
  <c r="R116" i="17" a="1"/>
  <c r="R116" i="17" s="1"/>
  <c r="R117" i="17" a="1"/>
  <c r="R117" i="17" s="1"/>
  <c r="R118" i="17" a="1"/>
  <c r="R118" i="17" s="1"/>
  <c r="R119" i="17" a="1"/>
  <c r="R119" i="17" s="1"/>
  <c r="R174" i="17" a="1"/>
  <c r="R174" i="17" s="1"/>
  <c r="R175" i="17" a="1"/>
  <c r="R175" i="17" s="1"/>
  <c r="R176" i="17" a="1"/>
  <c r="R176" i="17" s="1"/>
  <c r="R177" i="17" a="1"/>
  <c r="R177" i="17" s="1"/>
  <c r="R178" i="17" a="1"/>
  <c r="R178" i="17" s="1"/>
  <c r="R179" i="17" a="1"/>
  <c r="R179" i="17" s="1"/>
  <c r="R234" i="17" a="1"/>
  <c r="R234" i="17" s="1"/>
  <c r="R235" i="17" a="1"/>
  <c r="R235" i="17" s="1"/>
  <c r="R236" i="17" a="1"/>
  <c r="R236" i="17" s="1"/>
  <c r="R237" i="17" a="1"/>
  <c r="R237" i="17" s="1"/>
  <c r="R238" i="17" a="1"/>
  <c r="R238" i="17" s="1"/>
  <c r="R239" i="17" a="1"/>
  <c r="R239" i="17" s="1"/>
  <c r="R294" i="17" a="1"/>
  <c r="R294" i="17" s="1"/>
  <c r="R295" i="17" a="1"/>
  <c r="R295" i="17" s="1"/>
  <c r="R296" i="17" a="1"/>
  <c r="R296" i="17" s="1"/>
  <c r="R297" i="17" a="1"/>
  <c r="R297" i="17" s="1"/>
  <c r="R298" i="17" a="1"/>
  <c r="R298" i="17" s="1"/>
  <c r="R299" i="17" a="1"/>
  <c r="R299" i="17" s="1"/>
  <c r="R10" i="17" a="1"/>
  <c r="R10" i="17" s="1"/>
  <c r="R20" i="17" a="1"/>
  <c r="R20" i="17" s="1"/>
  <c r="R30" i="17" a="1"/>
  <c r="R30" i="17" s="1"/>
  <c r="R40" i="17" a="1"/>
  <c r="R40" i="17" s="1"/>
  <c r="R50" i="17" a="1"/>
  <c r="R50" i="17" s="1"/>
  <c r="R60" i="17" a="1"/>
  <c r="R60" i="17" s="1"/>
  <c r="R70" i="17" a="1"/>
  <c r="R70" i="17" s="1"/>
  <c r="R120" i="17" a="1"/>
  <c r="R120" i="17" s="1"/>
  <c r="R121" i="17" a="1"/>
  <c r="R121" i="17" s="1"/>
  <c r="R122" i="17" a="1"/>
  <c r="R122" i="17" s="1"/>
  <c r="R123" i="17" a="1"/>
  <c r="R123" i="17" s="1"/>
  <c r="R124" i="17" a="1"/>
  <c r="R124" i="17" s="1"/>
  <c r="R125" i="17" a="1"/>
  <c r="R125" i="17" s="1"/>
  <c r="R180" i="17" a="1"/>
  <c r="R180" i="17" s="1"/>
  <c r="R181" i="17" a="1"/>
  <c r="R181" i="17" s="1"/>
  <c r="R182" i="17" a="1"/>
  <c r="R182" i="17" s="1"/>
  <c r="R183" i="17" a="1"/>
  <c r="R183" i="17" s="1"/>
  <c r="R184" i="17" a="1"/>
  <c r="R184" i="17" s="1"/>
  <c r="R185" i="17" a="1"/>
  <c r="R185" i="17" s="1"/>
  <c r="R240" i="17" a="1"/>
  <c r="R240" i="17" s="1"/>
  <c r="R241" i="17" a="1"/>
  <c r="R241" i="17" s="1"/>
  <c r="R242" i="17" a="1"/>
  <c r="R242" i="17" s="1"/>
  <c r="R243" i="17" a="1"/>
  <c r="R243" i="17" s="1"/>
  <c r="R244" i="17" a="1"/>
  <c r="R244" i="17" s="1"/>
  <c r="R245" i="17" a="1"/>
  <c r="R245" i="17" s="1"/>
  <c r="R300" i="17" a="1"/>
  <c r="R300" i="17" s="1"/>
  <c r="R301" i="17" a="1"/>
  <c r="R301" i="17" s="1"/>
  <c r="R302" i="17" a="1"/>
  <c r="R302" i="17" s="1"/>
  <c r="R303" i="17" a="1"/>
  <c r="R303" i="17"/>
  <c r="R304" i="17" a="1"/>
  <c r="R304" i="17" s="1"/>
  <c r="R305" i="17" a="1"/>
  <c r="R305" i="17" s="1"/>
  <c r="R11" i="17" a="1"/>
  <c r="R11" i="17" s="1"/>
  <c r="R21" i="17" a="1"/>
  <c r="R21" i="17" s="1"/>
  <c r="R31" i="17" a="1"/>
  <c r="R31" i="17" s="1"/>
  <c r="R41" i="17" a="1"/>
  <c r="R41" i="17" s="1"/>
  <c r="R51" i="17" a="1"/>
  <c r="R51" i="17" s="1"/>
  <c r="R61" i="17" a="1"/>
  <c r="R61" i="17" s="1"/>
  <c r="R71" i="17" a="1"/>
  <c r="R71" i="17" s="1"/>
  <c r="R126" i="17" a="1"/>
  <c r="R126" i="17" s="1"/>
  <c r="R127" i="17" a="1"/>
  <c r="R127" i="17" s="1"/>
  <c r="R128" i="17" a="1"/>
  <c r="R128" i="17" s="1"/>
  <c r="R129" i="17" a="1"/>
  <c r="R129" i="17" s="1"/>
  <c r="R130" i="17" a="1"/>
  <c r="R130" i="17" s="1"/>
  <c r="R131" i="17" a="1"/>
  <c r="R131" i="17" s="1"/>
  <c r="R186" i="17" a="1"/>
  <c r="R186" i="17" s="1"/>
  <c r="R187" i="17" a="1"/>
  <c r="R187" i="17" s="1"/>
  <c r="R188" i="17" a="1"/>
  <c r="R188" i="17" s="1"/>
  <c r="R189" i="17" a="1"/>
  <c r="R189" i="17" s="1"/>
  <c r="R190" i="17" a="1"/>
  <c r="R190" i="17" s="1"/>
  <c r="R191" i="17" a="1"/>
  <c r="R191" i="17" s="1"/>
  <c r="R246" i="17" a="1"/>
  <c r="R246" i="17" s="1"/>
  <c r="R247" i="17" a="1"/>
  <c r="R247" i="17" s="1"/>
  <c r="R248" i="17" a="1"/>
  <c r="R248" i="17" s="1"/>
  <c r="R249" i="17" a="1"/>
  <c r="R249" i="17" s="1"/>
  <c r="R250" i="17" a="1"/>
  <c r="R250" i="17" s="1"/>
  <c r="R251" i="17" a="1"/>
  <c r="R251" i="17" s="1"/>
  <c r="R306" i="17" a="1"/>
  <c r="R306" i="17" s="1"/>
  <c r="R307" i="17" a="1"/>
  <c r="R307" i="17" s="1"/>
  <c r="R308" i="17" a="1"/>
  <c r="R308" i="17" s="1"/>
  <c r="R309" i="17" a="1"/>
  <c r="R309" i="17" s="1"/>
  <c r="R310" i="17" a="1"/>
  <c r="R310" i="17"/>
  <c r="R311" i="17" a="1"/>
  <c r="R311" i="17" s="1"/>
  <c r="S2" i="17" a="1"/>
  <c r="S2" i="17" s="1"/>
  <c r="S12" i="17" a="1"/>
  <c r="S12" i="17" s="1"/>
  <c r="S22" i="17" a="1"/>
  <c r="S22" i="17" s="1"/>
  <c r="S32" i="17" a="1"/>
  <c r="S32" i="17" s="1"/>
  <c r="S42" i="17" a="1"/>
  <c r="S42" i="17" s="1"/>
  <c r="S52" i="17" a="1"/>
  <c r="S52" i="17" s="1"/>
  <c r="S62" i="17" a="1"/>
  <c r="S62" i="17" s="1"/>
  <c r="S72" i="17" a="1"/>
  <c r="S72" i="17" s="1"/>
  <c r="S73" i="17" a="1"/>
  <c r="S73" i="17" s="1"/>
  <c r="S74" i="17" a="1"/>
  <c r="S74" i="17" s="1"/>
  <c r="S75" i="17" a="1"/>
  <c r="S75" i="17" s="1"/>
  <c r="S76" i="17" a="1"/>
  <c r="S76" i="17" s="1"/>
  <c r="S77" i="17" a="1"/>
  <c r="S77" i="17" s="1"/>
  <c r="S132" i="17" a="1"/>
  <c r="S132" i="17" s="1"/>
  <c r="S133" i="17" a="1"/>
  <c r="S133" i="17" s="1"/>
  <c r="S134" i="17" a="1"/>
  <c r="S134" i="17" s="1"/>
  <c r="S135" i="17" a="1"/>
  <c r="S135" i="17" s="1"/>
  <c r="S136" i="17" a="1"/>
  <c r="S136" i="17" s="1"/>
  <c r="S137" i="17" a="1"/>
  <c r="S137" i="17" s="1"/>
  <c r="S192" i="17" a="1"/>
  <c r="S192" i="17" s="1"/>
  <c r="S193" i="17" a="1"/>
  <c r="S193" i="17" s="1"/>
  <c r="S194" i="17" a="1"/>
  <c r="S194" i="17" s="1"/>
  <c r="S195" i="17" a="1"/>
  <c r="S195" i="17" s="1"/>
  <c r="S196" i="17" a="1"/>
  <c r="S196" i="17" s="1"/>
  <c r="S197" i="17" a="1"/>
  <c r="S197" i="17" s="1"/>
  <c r="S252" i="17" a="1"/>
  <c r="S252" i="17" s="1"/>
  <c r="S253" i="17" a="1"/>
  <c r="S253" i="17" s="1"/>
  <c r="S254" i="17" a="1"/>
  <c r="S254" i="17" s="1"/>
  <c r="S255" i="17" a="1"/>
  <c r="S255" i="17" s="1"/>
  <c r="S256" i="17" a="1"/>
  <c r="S256" i="17" s="1"/>
  <c r="S257" i="17" a="1"/>
  <c r="S257" i="17" s="1"/>
  <c r="S3" i="17" a="1"/>
  <c r="S3" i="17" s="1"/>
  <c r="S13" i="17" a="1"/>
  <c r="S13" i="17" s="1"/>
  <c r="S23" i="17" a="1"/>
  <c r="S23" i="17" s="1"/>
  <c r="S33" i="17" a="1"/>
  <c r="S33" i="17" s="1"/>
  <c r="S43" i="17" a="1"/>
  <c r="S43" i="17" s="1"/>
  <c r="S53" i="17" a="1"/>
  <c r="S53" i="17" s="1"/>
  <c r="S63" i="17" a="1"/>
  <c r="S63" i="17" s="1"/>
  <c r="S78" i="17" a="1"/>
  <c r="S78" i="17" s="1"/>
  <c r="S79" i="17" a="1"/>
  <c r="S79" i="17" s="1"/>
  <c r="S80" i="17" a="1"/>
  <c r="S80" i="17" s="1"/>
  <c r="S81" i="17" a="1"/>
  <c r="S81" i="17" s="1"/>
  <c r="S82" i="17" a="1"/>
  <c r="S82" i="17" s="1"/>
  <c r="S83" i="17" a="1"/>
  <c r="S83" i="17" s="1"/>
  <c r="S138" i="17" a="1"/>
  <c r="S138" i="17" s="1"/>
  <c r="S139" i="17" a="1"/>
  <c r="S139" i="17" s="1"/>
  <c r="S140" i="17" a="1"/>
  <c r="S140" i="17" s="1"/>
  <c r="S141" i="17" a="1"/>
  <c r="S141" i="17" s="1"/>
  <c r="S142" i="17" a="1"/>
  <c r="S142" i="17" s="1"/>
  <c r="S143" i="17" a="1"/>
  <c r="S143" i="17" s="1"/>
  <c r="S198" i="17" a="1"/>
  <c r="S198" i="17" s="1"/>
  <c r="S199" i="17" a="1"/>
  <c r="S199" i="17" s="1"/>
  <c r="S200" i="17" a="1"/>
  <c r="S200" i="17" s="1"/>
  <c r="S201" i="17" a="1"/>
  <c r="S201" i="17" s="1"/>
  <c r="S202" i="17" a="1"/>
  <c r="S202" i="17" s="1"/>
  <c r="S203" i="17" a="1"/>
  <c r="S203" i="17" s="1"/>
  <c r="S258" i="17" a="1"/>
  <c r="S258" i="17" s="1"/>
  <c r="S259" i="17" a="1"/>
  <c r="S259" i="17" s="1"/>
  <c r="S260" i="17" a="1"/>
  <c r="S260" i="17" s="1"/>
  <c r="S261" i="17" a="1"/>
  <c r="S261" i="17" s="1"/>
  <c r="S262" i="17" a="1"/>
  <c r="S262" i="17" s="1"/>
  <c r="S263" i="17" a="1"/>
  <c r="S263" i="17" s="1"/>
  <c r="S4" i="17" a="1"/>
  <c r="S4" i="17" s="1"/>
  <c r="S14" i="17" a="1"/>
  <c r="S14" i="17" s="1"/>
  <c r="S24" i="17" a="1"/>
  <c r="S24" i="17" s="1"/>
  <c r="S34" i="17" a="1"/>
  <c r="S34" i="17" s="1"/>
  <c r="S44" i="17" a="1"/>
  <c r="S44" i="17" s="1"/>
  <c r="S54" i="17" a="1"/>
  <c r="S54" i="17" s="1"/>
  <c r="S64" i="17" a="1"/>
  <c r="S64" i="17" s="1"/>
  <c r="S84" i="17" a="1"/>
  <c r="S84" i="17" s="1"/>
  <c r="S85" i="17" a="1"/>
  <c r="S85" i="17" s="1"/>
  <c r="S86" i="17" a="1"/>
  <c r="S86" i="17" s="1"/>
  <c r="S87" i="17" a="1"/>
  <c r="S87" i="17" s="1"/>
  <c r="S88" i="17" a="1"/>
  <c r="S88" i="17" s="1"/>
  <c r="S89" i="17" a="1"/>
  <c r="S89" i="17" s="1"/>
  <c r="S144" i="17" a="1"/>
  <c r="S144" i="17" s="1"/>
  <c r="S145" i="17" a="1"/>
  <c r="S145" i="17" s="1"/>
  <c r="S146" i="17" a="1"/>
  <c r="S146" i="17" s="1"/>
  <c r="S147" i="17" a="1"/>
  <c r="S147" i="17" s="1"/>
  <c r="S148" i="17" a="1"/>
  <c r="S148" i="17" s="1"/>
  <c r="S149" i="17" a="1"/>
  <c r="S149" i="17" s="1"/>
  <c r="S204" i="17" a="1"/>
  <c r="S204" i="17" s="1"/>
  <c r="S205" i="17" a="1"/>
  <c r="S205" i="17" s="1"/>
  <c r="S206" i="17" a="1"/>
  <c r="S206" i="17" s="1"/>
  <c r="S207" i="17" a="1"/>
  <c r="S207" i="17" s="1"/>
  <c r="S208" i="17" a="1"/>
  <c r="S208" i="17" s="1"/>
  <c r="S209" i="17" a="1"/>
  <c r="S209" i="17" s="1"/>
  <c r="S264" i="17" a="1"/>
  <c r="S264" i="17" s="1"/>
  <c r="S265" i="17" a="1"/>
  <c r="S265" i="17" s="1"/>
  <c r="S266" i="17" a="1"/>
  <c r="S266" i="17" s="1"/>
  <c r="S267" i="17" a="1"/>
  <c r="S267" i="17" s="1"/>
  <c r="S268" i="17" a="1"/>
  <c r="S268" i="17" s="1"/>
  <c r="S269" i="17" a="1"/>
  <c r="S269" i="17" s="1"/>
  <c r="S5" i="17" a="1"/>
  <c r="S5" i="17" s="1"/>
  <c r="S15" i="17" a="1"/>
  <c r="S15" i="17" s="1"/>
  <c r="S25" i="17" a="1"/>
  <c r="S25" i="17" s="1"/>
  <c r="S35" i="17" a="1"/>
  <c r="S35" i="17" s="1"/>
  <c r="S45" i="17" a="1"/>
  <c r="S45" i="17" s="1"/>
  <c r="S55" i="17" a="1"/>
  <c r="S55" i="17" s="1"/>
  <c r="S65" i="17" a="1"/>
  <c r="S65" i="17" s="1"/>
  <c r="S90" i="17" a="1"/>
  <c r="S90" i="17" s="1"/>
  <c r="S91" i="17" a="1"/>
  <c r="S91" i="17" s="1"/>
  <c r="S92" i="17" a="1"/>
  <c r="S92" i="17" s="1"/>
  <c r="S93" i="17" a="1"/>
  <c r="S93" i="17" s="1"/>
  <c r="S94" i="17" a="1"/>
  <c r="S94" i="17" s="1"/>
  <c r="S95" i="17" a="1"/>
  <c r="S95" i="17" s="1"/>
  <c r="S150" i="17" a="1"/>
  <c r="S150" i="17" s="1"/>
  <c r="S151" i="17" a="1"/>
  <c r="S151" i="17" s="1"/>
  <c r="S152" i="17" a="1"/>
  <c r="S152" i="17" s="1"/>
  <c r="S153" i="17" a="1"/>
  <c r="S153" i="17" s="1"/>
  <c r="S154" i="17" a="1"/>
  <c r="S154" i="17" s="1"/>
  <c r="S155" i="17" a="1"/>
  <c r="S155" i="17" s="1"/>
  <c r="S210" i="17" a="1"/>
  <c r="S210" i="17" s="1"/>
  <c r="S211" i="17" a="1"/>
  <c r="S211" i="17" s="1"/>
  <c r="S212" i="17" a="1"/>
  <c r="S212" i="17" s="1"/>
  <c r="S213" i="17" a="1"/>
  <c r="S213" i="17" s="1"/>
  <c r="S214" i="17" a="1"/>
  <c r="S214" i="17" s="1"/>
  <c r="S215" i="17" a="1"/>
  <c r="S215" i="17" s="1"/>
  <c r="S270" i="17" a="1"/>
  <c r="S270" i="17" s="1"/>
  <c r="S271" i="17" a="1"/>
  <c r="S271" i="17" s="1"/>
  <c r="S272" i="17" a="1"/>
  <c r="S272" i="17" s="1"/>
  <c r="S273" i="17" a="1"/>
  <c r="S273" i="17" s="1"/>
  <c r="S274" i="17" a="1"/>
  <c r="S274" i="17" s="1"/>
  <c r="S275" i="17" a="1"/>
  <c r="S275" i="17" s="1"/>
  <c r="S6" i="17" a="1"/>
  <c r="S6" i="17" s="1"/>
  <c r="S16" i="17" a="1"/>
  <c r="S16" i="17" s="1"/>
  <c r="S26" i="17" a="1"/>
  <c r="S26" i="17" s="1"/>
  <c r="S36" i="17" a="1"/>
  <c r="S36" i="17" s="1"/>
  <c r="S46" i="17" a="1"/>
  <c r="S46" i="17" s="1"/>
  <c r="S56" i="17" a="1"/>
  <c r="S56" i="17" s="1"/>
  <c r="S66" i="17" a="1"/>
  <c r="S66" i="17" s="1"/>
  <c r="S96" i="17" a="1"/>
  <c r="S96" i="17" s="1"/>
  <c r="S97" i="17" a="1"/>
  <c r="S97" i="17" s="1"/>
  <c r="S98" i="17" a="1"/>
  <c r="S98" i="17" s="1"/>
  <c r="S99" i="17" a="1"/>
  <c r="S99" i="17" s="1"/>
  <c r="S100" i="17" a="1"/>
  <c r="S100" i="17" s="1"/>
  <c r="S101" i="17" a="1"/>
  <c r="S101" i="17" s="1"/>
  <c r="S156" i="17" a="1"/>
  <c r="S156" i="17" s="1"/>
  <c r="S157" i="17" a="1"/>
  <c r="S157" i="17" s="1"/>
  <c r="S158" i="17" a="1"/>
  <c r="S158" i="17" s="1"/>
  <c r="S159" i="17" a="1"/>
  <c r="S159" i="17" s="1"/>
  <c r="S160" i="17" a="1"/>
  <c r="S160" i="17" s="1"/>
  <c r="S161" i="17" a="1"/>
  <c r="S161" i="17" s="1"/>
  <c r="S216" i="17" a="1"/>
  <c r="S216" i="17" s="1"/>
  <c r="S217" i="17" a="1"/>
  <c r="S217" i="17" s="1"/>
  <c r="S218" i="17" a="1"/>
  <c r="S218" i="17" s="1"/>
  <c r="S219" i="17" a="1"/>
  <c r="S219" i="17" s="1"/>
  <c r="S220" i="17" a="1"/>
  <c r="S220" i="17" s="1"/>
  <c r="S221" i="17" a="1"/>
  <c r="S221" i="17" s="1"/>
  <c r="S276" i="17" a="1"/>
  <c r="S276" i="17" s="1"/>
  <c r="S277" i="17" a="1"/>
  <c r="S277" i="17"/>
  <c r="S278" i="17" a="1"/>
  <c r="S278" i="17" s="1"/>
  <c r="S279" i="17" a="1"/>
  <c r="S279" i="17" s="1"/>
  <c r="S280" i="17" a="1"/>
  <c r="S280" i="17" s="1"/>
  <c r="S281" i="17" a="1"/>
  <c r="S281" i="17" s="1"/>
  <c r="S7" i="17" a="1"/>
  <c r="S7" i="17" s="1"/>
  <c r="S17" i="17" a="1"/>
  <c r="S17" i="17" s="1"/>
  <c r="S27" i="17" a="1"/>
  <c r="S27" i="17" s="1"/>
  <c r="S37" i="17" a="1"/>
  <c r="S37" i="17" s="1"/>
  <c r="S47" i="17" a="1"/>
  <c r="S47" i="17"/>
  <c r="S57" i="17" a="1"/>
  <c r="S57" i="17"/>
  <c r="S67" i="17" a="1"/>
  <c r="S67" i="17" s="1"/>
  <c r="S102" i="17" a="1"/>
  <c r="S102" i="17" s="1"/>
  <c r="S103" i="17" a="1"/>
  <c r="S103" i="17" s="1"/>
  <c r="S104" i="17" a="1"/>
  <c r="S104" i="17" s="1"/>
  <c r="S105" i="17" a="1"/>
  <c r="S105" i="17" s="1"/>
  <c r="S106" i="17" a="1"/>
  <c r="S106" i="17" s="1"/>
  <c r="S107" i="17" a="1"/>
  <c r="S107" i="17" s="1"/>
  <c r="S162" i="17" a="1"/>
  <c r="S162" i="17" s="1"/>
  <c r="S163" i="17" a="1"/>
  <c r="S163" i="17" s="1"/>
  <c r="S164" i="17" a="1"/>
  <c r="S164" i="17" s="1"/>
  <c r="S165" i="17" a="1"/>
  <c r="S165" i="17" s="1"/>
  <c r="S166" i="17" a="1"/>
  <c r="S166" i="17" s="1"/>
  <c r="S167" i="17" a="1"/>
  <c r="S167" i="17" s="1"/>
  <c r="S222" i="17" a="1"/>
  <c r="S222" i="17" s="1"/>
  <c r="S223" i="17" a="1"/>
  <c r="S223" i="17" s="1"/>
  <c r="S224" i="17" a="1"/>
  <c r="S224" i="17" s="1"/>
  <c r="S225" i="17" a="1"/>
  <c r="S225" i="17" s="1"/>
  <c r="S226" i="17" a="1"/>
  <c r="S226" i="17" s="1"/>
  <c r="S227" i="17" a="1"/>
  <c r="S227" i="17" s="1"/>
  <c r="S282" i="17" a="1"/>
  <c r="S282" i="17" s="1"/>
  <c r="S283" i="17" a="1"/>
  <c r="S283" i="17" s="1"/>
  <c r="S284" i="17" a="1"/>
  <c r="S284" i="17" s="1"/>
  <c r="S285" i="17" a="1"/>
  <c r="S285" i="17" s="1"/>
  <c r="S286" i="17" a="1"/>
  <c r="S286" i="17"/>
  <c r="S287" i="17" a="1"/>
  <c r="S287" i="17" s="1"/>
  <c r="S8" i="17" a="1"/>
  <c r="S8" i="17" s="1"/>
  <c r="S18" i="17" a="1"/>
  <c r="S18" i="17" s="1"/>
  <c r="S28" i="17" a="1"/>
  <c r="S28" i="17" s="1"/>
  <c r="S38" i="17" a="1"/>
  <c r="S38" i="17" s="1"/>
  <c r="S48" i="17" a="1"/>
  <c r="S48" i="17" s="1"/>
  <c r="S58" i="17" a="1"/>
  <c r="S58" i="17" s="1"/>
  <c r="S68" i="17" a="1"/>
  <c r="S68" i="17" s="1"/>
  <c r="S108" i="17" a="1"/>
  <c r="S108" i="17" s="1"/>
  <c r="S109" i="17" a="1"/>
  <c r="S109" i="17"/>
  <c r="S110" i="17" a="1"/>
  <c r="S110" i="17" s="1"/>
  <c r="S111" i="17" a="1"/>
  <c r="S111" i="17"/>
  <c r="S112" i="17" a="1"/>
  <c r="S112" i="17" s="1"/>
  <c r="S113" i="17" a="1"/>
  <c r="S113" i="17" s="1"/>
  <c r="S168" i="17" a="1"/>
  <c r="S168" i="17" s="1"/>
  <c r="S169" i="17" a="1"/>
  <c r="S169" i="17" s="1"/>
  <c r="S170" i="17" a="1"/>
  <c r="S170" i="17" s="1"/>
  <c r="S171" i="17" a="1"/>
  <c r="S171" i="17" s="1"/>
  <c r="S172" i="17" a="1"/>
  <c r="S172" i="17" s="1"/>
  <c r="S173" i="17" a="1"/>
  <c r="S173" i="17" s="1"/>
  <c r="S228" i="17" a="1"/>
  <c r="S228" i="17" s="1"/>
  <c r="S229" i="17" a="1"/>
  <c r="S229" i="17"/>
  <c r="S230" i="17" a="1"/>
  <c r="S230" i="17" s="1"/>
  <c r="S231" i="17" a="1"/>
  <c r="S231" i="17" s="1"/>
  <c r="S232" i="17" a="1"/>
  <c r="S232" i="17" s="1"/>
  <c r="S233" i="17" a="1"/>
  <c r="S233" i="17" s="1"/>
  <c r="S288" i="17" a="1"/>
  <c r="S288" i="17" s="1"/>
  <c r="S289" i="17" a="1"/>
  <c r="S289" i="17" s="1"/>
  <c r="S290" i="17" a="1"/>
  <c r="S290" i="17" s="1"/>
  <c r="S291" i="17" a="1"/>
  <c r="S291" i="17" s="1"/>
  <c r="S292" i="17" a="1"/>
  <c r="S292" i="17" s="1"/>
  <c r="S293" i="17" a="1"/>
  <c r="S293" i="17" s="1"/>
  <c r="S9" i="17" a="1"/>
  <c r="S9" i="17" s="1"/>
  <c r="S19" i="17" a="1"/>
  <c r="S19" i="17" s="1"/>
  <c r="S29" i="17" a="1"/>
  <c r="S29" i="17" s="1"/>
  <c r="S39" i="17" a="1"/>
  <c r="S39" i="17" s="1"/>
  <c r="S49" i="17" a="1"/>
  <c r="S49" i="17"/>
  <c r="S59" i="17" a="1"/>
  <c r="S59" i="17"/>
  <c r="S69" i="17" a="1"/>
  <c r="S69" i="17" s="1"/>
  <c r="S114" i="17" a="1"/>
  <c r="S114" i="17" s="1"/>
  <c r="S115" i="17" a="1"/>
  <c r="S115" i="17" s="1"/>
  <c r="S116" i="17" a="1"/>
  <c r="S116" i="17" s="1"/>
  <c r="S117" i="17" a="1"/>
  <c r="S117" i="17" s="1"/>
  <c r="S118" i="17" a="1"/>
  <c r="S118" i="17" s="1"/>
  <c r="S119" i="17" a="1"/>
  <c r="S119" i="17" s="1"/>
  <c r="S174" i="17" a="1"/>
  <c r="S174" i="17" s="1"/>
  <c r="S175" i="17" a="1"/>
  <c r="S175" i="17"/>
  <c r="S176" i="17" a="1"/>
  <c r="S176" i="17" s="1"/>
  <c r="S177" i="17" a="1"/>
  <c r="S177" i="17" s="1"/>
  <c r="S178" i="17" a="1"/>
  <c r="S178" i="17" s="1"/>
  <c r="S179" i="17" a="1"/>
  <c r="S179" i="17" s="1"/>
  <c r="S234" i="17" a="1"/>
  <c r="S234" i="17" s="1"/>
  <c r="S235" i="17" a="1"/>
  <c r="S235" i="17" s="1"/>
  <c r="S236" i="17" a="1"/>
  <c r="S236" i="17" s="1"/>
  <c r="S237" i="17" a="1"/>
  <c r="S237" i="17" s="1"/>
  <c r="S238" i="17" a="1"/>
  <c r="S238" i="17" s="1"/>
  <c r="S239" i="17" a="1"/>
  <c r="S239" i="17" s="1"/>
  <c r="S294" i="17" a="1"/>
  <c r="S294" i="17" s="1"/>
  <c r="S295" i="17" a="1"/>
  <c r="S295" i="17" s="1"/>
  <c r="S296" i="17" a="1"/>
  <c r="S296" i="17" s="1"/>
  <c r="S297" i="17" a="1"/>
  <c r="S297" i="17" s="1"/>
  <c r="S298" i="17" a="1"/>
  <c r="S298" i="17" s="1"/>
  <c r="S299" i="17" a="1"/>
  <c r="S299" i="17" s="1"/>
  <c r="S10" i="17" a="1"/>
  <c r="S10" i="17" s="1"/>
  <c r="S20" i="17" a="1"/>
  <c r="S20" i="17" s="1"/>
  <c r="S30" i="17" a="1"/>
  <c r="S30" i="17" s="1"/>
  <c r="S40" i="17" a="1"/>
  <c r="S40" i="17" s="1"/>
  <c r="S50" i="17" a="1"/>
  <c r="S50" i="17" s="1"/>
  <c r="S60" i="17" a="1"/>
  <c r="S60" i="17" s="1"/>
  <c r="S70" i="17" a="1"/>
  <c r="S70" i="17" s="1"/>
  <c r="S120" i="17" a="1"/>
  <c r="S120" i="17" s="1"/>
  <c r="S121" i="17" a="1"/>
  <c r="S121" i="17" s="1"/>
  <c r="S122" i="17" a="1"/>
  <c r="S122" i="17" s="1"/>
  <c r="S123" i="17" a="1"/>
  <c r="S123" i="17" s="1"/>
  <c r="S124" i="17" a="1"/>
  <c r="S124" i="17" s="1"/>
  <c r="S125" i="17" a="1"/>
  <c r="S125" i="17" s="1"/>
  <c r="S180" i="17" a="1"/>
  <c r="S180" i="17" s="1"/>
  <c r="S181" i="17" a="1"/>
  <c r="S181" i="17" s="1"/>
  <c r="S182" i="17" a="1"/>
  <c r="S182" i="17" s="1"/>
  <c r="S183" i="17" a="1"/>
  <c r="S183" i="17" s="1"/>
  <c r="S184" i="17" a="1"/>
  <c r="S184" i="17" s="1"/>
  <c r="S185" i="17" a="1"/>
  <c r="S185" i="17"/>
  <c r="S240" i="17" a="1"/>
  <c r="S240" i="17" s="1"/>
  <c r="S241" i="17" a="1"/>
  <c r="S241" i="17" s="1"/>
  <c r="S242" i="17" a="1"/>
  <c r="S242" i="17" s="1"/>
  <c r="S243" i="17" a="1"/>
  <c r="S243" i="17" s="1"/>
  <c r="S244" i="17" a="1"/>
  <c r="S244" i="17" s="1"/>
  <c r="S245" i="17" a="1"/>
  <c r="S245" i="17" s="1"/>
  <c r="S300" i="17" a="1"/>
  <c r="S300" i="17" s="1"/>
  <c r="S301" i="17" a="1"/>
  <c r="S301" i="17" s="1"/>
  <c r="S302" i="17" a="1"/>
  <c r="S302" i="17" s="1"/>
  <c r="S303" i="17" a="1"/>
  <c r="S303" i="17" s="1"/>
  <c r="S304" i="17" a="1"/>
  <c r="S304" i="17" s="1"/>
  <c r="S305" i="17" a="1"/>
  <c r="S305" i="17" s="1"/>
  <c r="S11" i="17" a="1"/>
  <c r="S11" i="17" s="1"/>
  <c r="S21" i="17" a="1"/>
  <c r="S21" i="17" s="1"/>
  <c r="S31" i="17" a="1"/>
  <c r="S31" i="17"/>
  <c r="S41" i="17" a="1"/>
  <c r="S41" i="17" s="1"/>
  <c r="S51" i="17" a="1"/>
  <c r="S51" i="17" s="1"/>
  <c r="S61" i="17" a="1"/>
  <c r="S61" i="17" s="1"/>
  <c r="S71" i="17" a="1"/>
  <c r="S71" i="17" s="1"/>
  <c r="S126" i="17" a="1"/>
  <c r="S126" i="17" s="1"/>
  <c r="S127" i="17" a="1"/>
  <c r="S127" i="17" s="1"/>
  <c r="S128" i="17" a="1"/>
  <c r="S128" i="17" s="1"/>
  <c r="S129" i="17" a="1"/>
  <c r="S129" i="17" s="1"/>
  <c r="S130" i="17" a="1"/>
  <c r="S130" i="17"/>
  <c r="S131" i="17" a="1"/>
  <c r="S131" i="17"/>
  <c r="S186" i="17" a="1"/>
  <c r="S186" i="17" s="1"/>
  <c r="S187" i="17" a="1"/>
  <c r="S187" i="17" s="1"/>
  <c r="S188" i="17" a="1"/>
  <c r="S188" i="17" s="1"/>
  <c r="S189" i="17" a="1"/>
  <c r="S189" i="17" s="1"/>
  <c r="S190" i="17" a="1"/>
  <c r="S190" i="17" s="1"/>
  <c r="S191" i="17" a="1"/>
  <c r="S191" i="17" s="1"/>
  <c r="S246" i="17" a="1"/>
  <c r="S246" i="17" s="1"/>
  <c r="S247" i="17" a="1"/>
  <c r="S247" i="17" s="1"/>
  <c r="S248" i="17" a="1"/>
  <c r="S248" i="17" s="1"/>
  <c r="S249" i="17" a="1"/>
  <c r="S249" i="17" s="1"/>
  <c r="S250" i="17" a="1"/>
  <c r="S250" i="17" s="1"/>
  <c r="S251" i="17" a="1"/>
  <c r="S251" i="17"/>
  <c r="S306" i="17" a="1"/>
  <c r="S306" i="17" s="1"/>
  <c r="S307" i="17" a="1"/>
  <c r="S307" i="17" s="1"/>
  <c r="S308" i="17" a="1"/>
  <c r="S308" i="17" s="1"/>
  <c r="S309" i="17" a="1"/>
  <c r="S309" i="17" s="1"/>
  <c r="S310" i="17" a="1"/>
  <c r="S310" i="17" s="1"/>
  <c r="S311" i="17" a="1"/>
  <c r="S311" i="17" s="1"/>
  <c r="T2" i="17" a="1"/>
  <c r="T2" i="17" s="1"/>
  <c r="T12" i="17" a="1"/>
  <c r="T12" i="17" s="1"/>
  <c r="T22" i="17" a="1"/>
  <c r="T22" i="17" s="1"/>
  <c r="T32" i="17" a="1"/>
  <c r="T32" i="17" s="1"/>
  <c r="T42" i="17" a="1"/>
  <c r="T42" i="17" s="1"/>
  <c r="T52" i="17" a="1"/>
  <c r="T52" i="17" s="1"/>
  <c r="T62" i="17" a="1"/>
  <c r="T62" i="17" s="1"/>
  <c r="T72" i="17" a="1"/>
  <c r="T72" i="17" s="1"/>
  <c r="T73" i="17" a="1"/>
  <c r="T73" i="17" s="1"/>
  <c r="T74" i="17" a="1"/>
  <c r="T74" i="17" s="1"/>
  <c r="T75" i="17" a="1"/>
  <c r="T75" i="17" s="1"/>
  <c r="T76" i="17" a="1"/>
  <c r="T76" i="17" s="1"/>
  <c r="T77" i="17" a="1"/>
  <c r="T77" i="17" s="1"/>
  <c r="T132" i="17" a="1"/>
  <c r="T132" i="17" s="1"/>
  <c r="T133" i="17" a="1"/>
  <c r="T133" i="17" s="1"/>
  <c r="T134" i="17" a="1"/>
  <c r="T134" i="17" s="1"/>
  <c r="T135" i="17" a="1"/>
  <c r="T135" i="17" s="1"/>
  <c r="T136" i="17" a="1"/>
  <c r="T136" i="17" s="1"/>
  <c r="T137" i="17" a="1"/>
  <c r="T137" i="17" s="1"/>
  <c r="T192" i="17" a="1"/>
  <c r="T192" i="17" s="1"/>
  <c r="T193" i="17" a="1"/>
  <c r="T193" i="17" s="1"/>
  <c r="T194" i="17" a="1"/>
  <c r="T194" i="17" s="1"/>
  <c r="T195" i="17" a="1"/>
  <c r="T195" i="17" s="1"/>
  <c r="T196" i="17" a="1"/>
  <c r="T196" i="17" s="1"/>
  <c r="T197" i="17" a="1"/>
  <c r="T197" i="17" s="1"/>
  <c r="T252" i="17" a="1"/>
  <c r="T252" i="17" s="1"/>
  <c r="T253" i="17" a="1"/>
  <c r="T253" i="17" s="1"/>
  <c r="T254" i="17" a="1"/>
  <c r="T254" i="17" s="1"/>
  <c r="T255" i="17" a="1"/>
  <c r="T255" i="17" s="1"/>
  <c r="T256" i="17" a="1"/>
  <c r="T256" i="17" s="1"/>
  <c r="T257" i="17" a="1"/>
  <c r="T257" i="17"/>
  <c r="T3" i="17" a="1"/>
  <c r="T3" i="17"/>
  <c r="T13" i="17" a="1"/>
  <c r="T13" i="17" s="1"/>
  <c r="T23" i="17" a="1"/>
  <c r="T23" i="17" s="1"/>
  <c r="T33" i="17" a="1"/>
  <c r="T33" i="17" s="1"/>
  <c r="T43" i="17" a="1"/>
  <c r="T43" i="17" s="1"/>
  <c r="T53" i="17" a="1"/>
  <c r="T53" i="17" s="1"/>
  <c r="T63" i="17" a="1"/>
  <c r="T63" i="17" s="1"/>
  <c r="T78" i="17" a="1"/>
  <c r="T78" i="17" s="1"/>
  <c r="T79" i="17" a="1"/>
  <c r="T79" i="17" s="1"/>
  <c r="T80" i="17" a="1"/>
  <c r="T80" i="17"/>
  <c r="T81" i="17" a="1"/>
  <c r="T81" i="17" s="1"/>
  <c r="T82" i="17" a="1"/>
  <c r="T82" i="17" s="1"/>
  <c r="T83" i="17" a="1"/>
  <c r="T83" i="17"/>
  <c r="T138" i="17" a="1"/>
  <c r="T138" i="17" s="1"/>
  <c r="T139" i="17" a="1"/>
  <c r="T139" i="17" s="1"/>
  <c r="T140" i="17" a="1"/>
  <c r="T140" i="17" s="1"/>
  <c r="T141" i="17" a="1"/>
  <c r="T141" i="17" s="1"/>
  <c r="T142" i="17" a="1"/>
  <c r="T142" i="17" s="1"/>
  <c r="T143" i="17" a="1"/>
  <c r="T143" i="17" s="1"/>
  <c r="T198" i="17" a="1"/>
  <c r="T198" i="17" s="1"/>
  <c r="T199" i="17" a="1"/>
  <c r="T199" i="17" s="1"/>
  <c r="T200" i="17" a="1"/>
  <c r="T200" i="17" s="1"/>
  <c r="T201" i="17" a="1"/>
  <c r="T201" i="17"/>
  <c r="T202" i="17" a="1"/>
  <c r="T202" i="17" s="1"/>
  <c r="T203" i="17" a="1"/>
  <c r="T203" i="17"/>
  <c r="T258" i="17" a="1"/>
  <c r="T258" i="17" s="1"/>
  <c r="T259" i="17" a="1"/>
  <c r="T259" i="17" s="1"/>
  <c r="T260" i="17" a="1"/>
  <c r="T260" i="17" s="1"/>
  <c r="T261" i="17" a="1"/>
  <c r="T261" i="17" s="1"/>
  <c r="T262" i="17" a="1"/>
  <c r="T262" i="17" s="1"/>
  <c r="T263" i="17" a="1"/>
  <c r="T263" i="17" s="1"/>
  <c r="T4" i="17" a="1"/>
  <c r="T4" i="17" s="1"/>
  <c r="T14" i="17" a="1"/>
  <c r="T14" i="17" s="1"/>
  <c r="T24" i="17" a="1"/>
  <c r="T24" i="17" s="1"/>
  <c r="T34" i="17" a="1"/>
  <c r="T34" i="17"/>
  <c r="T44" i="17" a="1"/>
  <c r="T44" i="17" s="1"/>
  <c r="T54" i="17" a="1"/>
  <c r="T54" i="17" s="1"/>
  <c r="T64" i="17" a="1"/>
  <c r="T64" i="17" s="1"/>
  <c r="T84" i="17" a="1"/>
  <c r="T84" i="17" s="1"/>
  <c r="T85" i="17" a="1"/>
  <c r="T85" i="17" s="1"/>
  <c r="T86" i="17" a="1"/>
  <c r="T86" i="17" s="1"/>
  <c r="T87" i="17" a="1"/>
  <c r="T87" i="17" s="1"/>
  <c r="T88" i="17" a="1"/>
  <c r="T88" i="17" s="1"/>
  <c r="T89" i="17" a="1"/>
  <c r="T89" i="17" s="1"/>
  <c r="T144" i="17" a="1"/>
  <c r="T144" i="17" s="1"/>
  <c r="T145" i="17" a="1"/>
  <c r="T145" i="17" s="1"/>
  <c r="T146" i="17" a="1"/>
  <c r="T146" i="17" s="1"/>
  <c r="T147" i="17" a="1"/>
  <c r="T147" i="17" s="1"/>
  <c r="T148" i="17" a="1"/>
  <c r="T148" i="17" s="1"/>
  <c r="T149" i="17" a="1"/>
  <c r="T149" i="17"/>
  <c r="T204" i="17" a="1"/>
  <c r="T204" i="17" s="1"/>
  <c r="T205" i="17" a="1"/>
  <c r="T205" i="17" s="1"/>
  <c r="T206" i="17" a="1"/>
  <c r="T206" i="17" s="1"/>
  <c r="T207" i="17" a="1"/>
  <c r="T207" i="17" s="1"/>
  <c r="T208" i="17" a="1"/>
  <c r="T208" i="17" s="1"/>
  <c r="T209" i="17" a="1"/>
  <c r="T209" i="17" s="1"/>
  <c r="T264" i="17" a="1"/>
  <c r="T264" i="17" s="1"/>
  <c r="T265" i="17" a="1"/>
  <c r="T265" i="17" s="1"/>
  <c r="T266" i="17" a="1"/>
  <c r="T266" i="17"/>
  <c r="T267" i="17" a="1"/>
  <c r="T267" i="17" s="1"/>
  <c r="T268" i="17" a="1"/>
  <c r="T268" i="17" s="1"/>
  <c r="T269" i="17" a="1"/>
  <c r="T269" i="17" s="1"/>
  <c r="T5" i="17" a="1"/>
  <c r="T5" i="17" s="1"/>
  <c r="T15" i="17" a="1"/>
  <c r="T15" i="17" s="1"/>
  <c r="T25" i="17" a="1"/>
  <c r="T25" i="17" s="1"/>
  <c r="T35" i="17" a="1"/>
  <c r="T35" i="17" s="1"/>
  <c r="T45" i="17" a="1"/>
  <c r="T45" i="17" s="1"/>
  <c r="T55" i="17" a="1"/>
  <c r="T55" i="17" s="1"/>
  <c r="T65" i="17" a="1"/>
  <c r="T65" i="17" s="1"/>
  <c r="T90" i="17" a="1"/>
  <c r="T90" i="17" s="1"/>
  <c r="T91" i="17" a="1"/>
  <c r="T91" i="17" s="1"/>
  <c r="T92" i="17" a="1"/>
  <c r="T92" i="17" s="1"/>
  <c r="T93" i="17" a="1"/>
  <c r="T93" i="17" s="1"/>
  <c r="T94" i="17" a="1"/>
  <c r="T94" i="17" s="1"/>
  <c r="T95" i="17" a="1"/>
  <c r="T95" i="17" s="1"/>
  <c r="T150" i="17" a="1"/>
  <c r="T150" i="17" s="1"/>
  <c r="T151" i="17" a="1"/>
  <c r="T151" i="17" s="1"/>
  <c r="T152" i="17" a="1"/>
  <c r="T152" i="17" s="1"/>
  <c r="T153" i="17" a="1"/>
  <c r="T153" i="17" s="1"/>
  <c r="T154" i="17" a="1"/>
  <c r="T154" i="17" s="1"/>
  <c r="T155" i="17" a="1"/>
  <c r="T155" i="17" s="1"/>
  <c r="T210" i="17" a="1"/>
  <c r="T210" i="17" s="1"/>
  <c r="T211" i="17" a="1"/>
  <c r="T211" i="17" s="1"/>
  <c r="T212" i="17" a="1"/>
  <c r="T212" i="17" s="1"/>
  <c r="T213" i="17" a="1"/>
  <c r="T213" i="17" s="1"/>
  <c r="T214" i="17" a="1"/>
  <c r="T214" i="17" s="1"/>
  <c r="T215" i="17" a="1"/>
  <c r="T215" i="17" s="1"/>
  <c r="T270" i="17" a="1"/>
  <c r="T270" i="17" s="1"/>
  <c r="T271" i="17" a="1"/>
  <c r="T271" i="17" s="1"/>
  <c r="T272" i="17" a="1"/>
  <c r="T272" i="17" s="1"/>
  <c r="T273" i="17" a="1"/>
  <c r="T273" i="17" s="1"/>
  <c r="T274" i="17" a="1"/>
  <c r="T274" i="17" s="1"/>
  <c r="T275" i="17" a="1"/>
  <c r="T275" i="17" s="1"/>
  <c r="T6" i="17" a="1"/>
  <c r="T6" i="17"/>
  <c r="T16" i="17" a="1"/>
  <c r="T16" i="17" s="1"/>
  <c r="T26" i="17" a="1"/>
  <c r="T26" i="17" s="1"/>
  <c r="T36" i="17" a="1"/>
  <c r="T36" i="17" s="1"/>
  <c r="T46" i="17" a="1"/>
  <c r="T46" i="17" s="1"/>
  <c r="T56" i="17" a="1"/>
  <c r="T56" i="17" s="1"/>
  <c r="T66" i="17" a="1"/>
  <c r="T66" i="17" s="1"/>
  <c r="T96" i="17" a="1"/>
  <c r="T96" i="17" s="1"/>
  <c r="T97" i="17" a="1"/>
  <c r="T97" i="17" s="1"/>
  <c r="T98" i="17" a="1"/>
  <c r="T98" i="17" s="1"/>
  <c r="T99" i="17" a="1"/>
  <c r="T99" i="17" s="1"/>
  <c r="T100" i="17" a="1"/>
  <c r="T100" i="17" s="1"/>
  <c r="T101" i="17" a="1"/>
  <c r="T101" i="17" s="1"/>
  <c r="T156" i="17" a="1"/>
  <c r="T156" i="17" s="1"/>
  <c r="T157" i="17" a="1"/>
  <c r="T157" i="17" s="1"/>
  <c r="T158" i="17" a="1"/>
  <c r="T158" i="17" s="1"/>
  <c r="T159" i="17" a="1"/>
  <c r="T159" i="17" s="1"/>
  <c r="T160" i="17" a="1"/>
  <c r="T160" i="17" s="1"/>
  <c r="T161" i="17" a="1"/>
  <c r="T161" i="17" s="1"/>
  <c r="T216" i="17" a="1"/>
  <c r="T216" i="17" s="1"/>
  <c r="T217" i="17" a="1"/>
  <c r="T217" i="17" s="1"/>
  <c r="T218" i="17" a="1"/>
  <c r="T218" i="17" s="1"/>
  <c r="T219" i="17" a="1"/>
  <c r="T219" i="17" s="1"/>
  <c r="T220" i="17" a="1"/>
  <c r="T220" i="17"/>
  <c r="T221" i="17" a="1"/>
  <c r="T221" i="17" s="1"/>
  <c r="T276" i="17" a="1"/>
  <c r="T276" i="17" s="1"/>
  <c r="T277" i="17" a="1"/>
  <c r="T277" i="17" s="1"/>
  <c r="T278" i="17" a="1"/>
  <c r="T278" i="17" s="1"/>
  <c r="T279" i="17" a="1"/>
  <c r="T279" i="17" s="1"/>
  <c r="T280" i="17" a="1"/>
  <c r="T280" i="17" s="1"/>
  <c r="T281" i="17" a="1"/>
  <c r="T281" i="17" s="1"/>
  <c r="T7" i="17" a="1"/>
  <c r="T7" i="17"/>
  <c r="T17" i="17" a="1"/>
  <c r="T17" i="17" s="1"/>
  <c r="T27" i="17" a="1"/>
  <c r="T27" i="17" s="1"/>
  <c r="T37" i="17" a="1"/>
  <c r="T37" i="17" s="1"/>
  <c r="T47" i="17" a="1"/>
  <c r="T47" i="17" s="1"/>
  <c r="T57" i="17" a="1"/>
  <c r="T57" i="17" s="1"/>
  <c r="T67" i="17" a="1"/>
  <c r="T67" i="17" s="1"/>
  <c r="T102" i="17" a="1"/>
  <c r="T102" i="17" s="1"/>
  <c r="T103" i="17" a="1"/>
  <c r="T103" i="17" s="1"/>
  <c r="T104" i="17" a="1"/>
  <c r="T104" i="17" s="1"/>
  <c r="T105" i="17" a="1"/>
  <c r="T105" i="17"/>
  <c r="T106" i="17" a="1"/>
  <c r="T106" i="17" s="1"/>
  <c r="T107" i="17" a="1"/>
  <c r="T107" i="17" s="1"/>
  <c r="T162" i="17" a="1"/>
  <c r="T162" i="17" s="1"/>
  <c r="T163" i="17" a="1"/>
  <c r="T163" i="17" s="1"/>
  <c r="T164" i="17" a="1"/>
  <c r="T164" i="17" s="1"/>
  <c r="T165" i="17" a="1"/>
  <c r="T165" i="17" s="1"/>
  <c r="T166" i="17" a="1"/>
  <c r="T166" i="17" s="1"/>
  <c r="T167" i="17" a="1"/>
  <c r="T167" i="17" s="1"/>
  <c r="T222" i="17" a="1"/>
  <c r="T222" i="17" s="1"/>
  <c r="T223" i="17" a="1"/>
  <c r="T223" i="17" s="1"/>
  <c r="T224" i="17" a="1"/>
  <c r="T224" i="17" s="1"/>
  <c r="T225" i="17" a="1"/>
  <c r="T225" i="17" s="1"/>
  <c r="T226" i="17" a="1"/>
  <c r="T226" i="17" s="1"/>
  <c r="T227" i="17" a="1"/>
  <c r="T227" i="17" s="1"/>
  <c r="T282" i="17" a="1"/>
  <c r="T282" i="17" s="1"/>
  <c r="T283" i="17" a="1"/>
  <c r="T283" i="17" s="1"/>
  <c r="T284" i="17" a="1"/>
  <c r="T284" i="17" s="1"/>
  <c r="T285" i="17" a="1"/>
  <c r="T285" i="17" s="1"/>
  <c r="T286" i="17" a="1"/>
  <c r="T286" i="17" s="1"/>
  <c r="T287" i="17" a="1"/>
  <c r="T287" i="17" s="1"/>
  <c r="T8" i="17" a="1"/>
  <c r="T8" i="17" s="1"/>
  <c r="T18" i="17" a="1"/>
  <c r="T18" i="17" s="1"/>
  <c r="T28" i="17" a="1"/>
  <c r="T28" i="17" s="1"/>
  <c r="T38" i="17" a="1"/>
  <c r="T38" i="17" s="1"/>
  <c r="T48" i="17" a="1"/>
  <c r="T48" i="17" s="1"/>
  <c r="T58" i="17" a="1"/>
  <c r="T58" i="17" s="1"/>
  <c r="T68" i="17" a="1"/>
  <c r="T68" i="17" s="1"/>
  <c r="T108" i="17" a="1"/>
  <c r="T108" i="17" s="1"/>
  <c r="T109" i="17" a="1"/>
  <c r="T109" i="17" s="1"/>
  <c r="T110" i="17" a="1"/>
  <c r="T110" i="17" s="1"/>
  <c r="T111" i="17" a="1"/>
  <c r="T111" i="17" s="1"/>
  <c r="T112" i="17" a="1"/>
  <c r="T112" i="17" s="1"/>
  <c r="T113" i="17" a="1"/>
  <c r="T113" i="17" s="1"/>
  <c r="T168" i="17" a="1"/>
  <c r="T168" i="17" s="1"/>
  <c r="T169" i="17" a="1"/>
  <c r="T169" i="17" s="1"/>
  <c r="T170" i="17" a="1"/>
  <c r="T170" i="17"/>
  <c r="T171" i="17" a="1"/>
  <c r="T171" i="17" s="1"/>
  <c r="T172" i="17" a="1"/>
  <c r="T172" i="17" s="1"/>
  <c r="T173" i="17" a="1"/>
  <c r="T173" i="17" s="1"/>
  <c r="T228" i="17" a="1"/>
  <c r="T228" i="17" s="1"/>
  <c r="T229" i="17" a="1"/>
  <c r="T229" i="17"/>
  <c r="T230" i="17" a="1"/>
  <c r="T230" i="17" s="1"/>
  <c r="T231" i="17" a="1"/>
  <c r="T231" i="17" s="1"/>
  <c r="T232" i="17" a="1"/>
  <c r="T232" i="17" s="1"/>
  <c r="T233" i="17" a="1"/>
  <c r="T233" i="17" s="1"/>
  <c r="T288" i="17" a="1"/>
  <c r="T288" i="17" s="1"/>
  <c r="T289" i="17" a="1"/>
  <c r="T289" i="17" s="1"/>
  <c r="T290" i="17" a="1"/>
  <c r="T290" i="17" s="1"/>
  <c r="T291" i="17" a="1"/>
  <c r="T291" i="17" s="1"/>
  <c r="T292" i="17" a="1"/>
  <c r="T292" i="17" s="1"/>
  <c r="T293" i="17" a="1"/>
  <c r="T293" i="17" s="1"/>
  <c r="T9" i="17" a="1"/>
  <c r="T9" i="17" s="1"/>
  <c r="T19" i="17" a="1"/>
  <c r="T19" i="17" s="1"/>
  <c r="T29" i="17" a="1"/>
  <c r="T29" i="17"/>
  <c r="T39" i="17" a="1"/>
  <c r="T39" i="17" s="1"/>
  <c r="T49" i="17" a="1"/>
  <c r="T49" i="17" s="1"/>
  <c r="T59" i="17" a="1"/>
  <c r="T59" i="17" s="1"/>
  <c r="T69" i="17" a="1"/>
  <c r="T69" i="17" s="1"/>
  <c r="T114" i="17" a="1"/>
  <c r="T114" i="17" s="1"/>
  <c r="T115" i="17" a="1"/>
  <c r="T115" i="17" s="1"/>
  <c r="T116" i="17" a="1"/>
  <c r="T116" i="17" s="1"/>
  <c r="T117" i="17" a="1"/>
  <c r="T117" i="17" s="1"/>
  <c r="T118" i="17" a="1"/>
  <c r="T118" i="17" s="1"/>
  <c r="T119" i="17" a="1"/>
  <c r="T119" i="17" s="1"/>
  <c r="T174" i="17" a="1"/>
  <c r="T174" i="17" s="1"/>
  <c r="T175" i="17" a="1"/>
  <c r="T175" i="17" s="1"/>
  <c r="T176" i="17" a="1"/>
  <c r="T176" i="17" s="1"/>
  <c r="T177" i="17" a="1"/>
  <c r="T177" i="17" s="1"/>
  <c r="T178" i="17" a="1"/>
  <c r="T178" i="17" s="1"/>
  <c r="T179" i="17" a="1"/>
  <c r="T179" i="17" s="1"/>
  <c r="T234" i="17" a="1"/>
  <c r="T234" i="17" s="1"/>
  <c r="T235" i="17" a="1"/>
  <c r="T235" i="17" s="1"/>
  <c r="T236" i="17" a="1"/>
  <c r="T236" i="17" s="1"/>
  <c r="T237" i="17" a="1"/>
  <c r="T237" i="17" s="1"/>
  <c r="T238" i="17" a="1"/>
  <c r="T238" i="17" s="1"/>
  <c r="T239" i="17" a="1"/>
  <c r="T239" i="17" s="1"/>
  <c r="T294" i="17" a="1"/>
  <c r="T294" i="17" s="1"/>
  <c r="T295" i="17" a="1"/>
  <c r="T295" i="17" s="1"/>
  <c r="T296" i="17" a="1"/>
  <c r="T296" i="17" s="1"/>
  <c r="T297" i="17" a="1"/>
  <c r="T297" i="17"/>
  <c r="T298" i="17" a="1"/>
  <c r="T298" i="17" s="1"/>
  <c r="T299" i="17" a="1"/>
  <c r="T299" i="17" s="1"/>
  <c r="T10" i="17" a="1"/>
  <c r="T10" i="17" s="1"/>
  <c r="T20" i="17" a="1"/>
  <c r="T20" i="17" s="1"/>
  <c r="T30" i="17" a="1"/>
  <c r="T30" i="17"/>
  <c r="T40" i="17" a="1"/>
  <c r="T40" i="17" s="1"/>
  <c r="T50" i="17" a="1"/>
  <c r="T50" i="17" s="1"/>
  <c r="T60" i="17" a="1"/>
  <c r="T60" i="17" s="1"/>
  <c r="T70" i="17" a="1"/>
  <c r="T70" i="17" s="1"/>
  <c r="T120" i="17" a="1"/>
  <c r="T120" i="17"/>
  <c r="T121" i="17" a="1"/>
  <c r="T121" i="17" s="1"/>
  <c r="T122" i="17" a="1"/>
  <c r="T122" i="17" s="1"/>
  <c r="T123" i="17" a="1"/>
  <c r="T123" i="17" s="1"/>
  <c r="T124" i="17" a="1"/>
  <c r="T124" i="17" s="1"/>
  <c r="T125" i="17" a="1"/>
  <c r="T125" i="17" s="1"/>
  <c r="T180" i="17" a="1"/>
  <c r="T180" i="17" s="1"/>
  <c r="T181" i="17" a="1"/>
  <c r="T181" i="17" s="1"/>
  <c r="T182" i="17" a="1"/>
  <c r="T182" i="17" s="1"/>
  <c r="T183" i="17" a="1"/>
  <c r="T183" i="17" s="1"/>
  <c r="T184" i="17" a="1"/>
  <c r="T184" i="17" s="1"/>
  <c r="T185" i="17" a="1"/>
  <c r="T185" i="17" s="1"/>
  <c r="T240" i="17" a="1"/>
  <c r="T240" i="17" s="1"/>
  <c r="T241" i="17" a="1"/>
  <c r="T241" i="17"/>
  <c r="T242" i="17" a="1"/>
  <c r="T242" i="17" s="1"/>
  <c r="T243" i="17" a="1"/>
  <c r="T243" i="17" s="1"/>
  <c r="T244" i="17" a="1"/>
  <c r="T244" i="17" s="1"/>
  <c r="T245" i="17" a="1"/>
  <c r="T245" i="17" s="1"/>
  <c r="T300" i="17" a="1"/>
  <c r="T300" i="17"/>
  <c r="T301" i="17" a="1"/>
  <c r="T301" i="17" s="1"/>
  <c r="T302" i="17" a="1"/>
  <c r="T302" i="17" s="1"/>
  <c r="T303" i="17" a="1"/>
  <c r="T303" i="17" s="1"/>
  <c r="T304" i="17" a="1"/>
  <c r="T304" i="17" s="1"/>
  <c r="T305" i="17" a="1"/>
  <c r="T305" i="17" s="1"/>
  <c r="T11" i="17" a="1"/>
  <c r="T11" i="17" s="1"/>
  <c r="T21" i="17" a="1"/>
  <c r="T21" i="17" s="1"/>
  <c r="T31" i="17" a="1"/>
  <c r="T31" i="17"/>
  <c r="T41" i="17" a="1"/>
  <c r="T41" i="17" s="1"/>
  <c r="T51" i="17" a="1"/>
  <c r="T51" i="17" s="1"/>
  <c r="T61" i="17" a="1"/>
  <c r="T61" i="17" s="1"/>
  <c r="T71" i="17" a="1"/>
  <c r="T71" i="17" s="1"/>
  <c r="T126" i="17" a="1"/>
  <c r="T126" i="17"/>
  <c r="T127" i="17" a="1"/>
  <c r="T127" i="17" s="1"/>
  <c r="T128" i="17" a="1"/>
  <c r="T128" i="17" s="1"/>
  <c r="T129" i="17" a="1"/>
  <c r="T129" i="17" s="1"/>
  <c r="T130" i="17" a="1"/>
  <c r="T130" i="17" s="1"/>
  <c r="T131" i="17" a="1"/>
  <c r="T131" i="17"/>
  <c r="T186" i="17" a="1"/>
  <c r="T186" i="17" s="1"/>
  <c r="T187" i="17" a="1"/>
  <c r="T187" i="17" s="1"/>
  <c r="T188" i="17" a="1"/>
  <c r="T188" i="17" s="1"/>
  <c r="T189" i="17" a="1"/>
  <c r="T189" i="17" s="1"/>
  <c r="T190" i="17" a="1"/>
  <c r="T190" i="17" s="1"/>
  <c r="T191" i="17" a="1"/>
  <c r="T191" i="17" s="1"/>
  <c r="T246" i="17" a="1"/>
  <c r="T246" i="17" s="1"/>
  <c r="T247" i="17" a="1"/>
  <c r="T247" i="17"/>
  <c r="T248" i="17" a="1"/>
  <c r="T248" i="17" s="1"/>
  <c r="T249" i="17" a="1"/>
  <c r="T249" i="17" s="1"/>
  <c r="T250" i="17" a="1"/>
  <c r="T250" i="17" s="1"/>
  <c r="T251" i="17" a="1"/>
  <c r="T251" i="17" s="1"/>
  <c r="T306" i="17" a="1"/>
  <c r="T306" i="17"/>
  <c r="T307" i="17" a="1"/>
  <c r="T307" i="17" s="1"/>
  <c r="T308" i="17" a="1"/>
  <c r="T308" i="17" s="1"/>
  <c r="T309" i="17" a="1"/>
  <c r="T309" i="17" s="1"/>
  <c r="T310" i="17" a="1"/>
  <c r="T310" i="17" s="1"/>
  <c r="T311" i="17" a="1"/>
  <c r="T311" i="17"/>
  <c r="U2" i="17" a="1"/>
  <c r="U2" i="17" s="1"/>
  <c r="U12" i="17" a="1"/>
  <c r="U12" i="17" s="1"/>
  <c r="U22" i="17" a="1"/>
  <c r="U22" i="17" s="1"/>
  <c r="U32" i="17" a="1"/>
  <c r="U32" i="17" s="1"/>
  <c r="U42" i="17" a="1"/>
  <c r="U42" i="17" s="1"/>
  <c r="U52" i="17" a="1"/>
  <c r="U52" i="17" s="1"/>
  <c r="U62" i="17" a="1"/>
  <c r="U62" i="17" s="1"/>
  <c r="U72" i="17" a="1"/>
  <c r="U72" i="17"/>
  <c r="U73" i="17" a="1"/>
  <c r="U73" i="17" s="1"/>
  <c r="U74" i="17" a="1"/>
  <c r="U74" i="17" s="1"/>
  <c r="U75" i="17" a="1"/>
  <c r="U75" i="17" s="1"/>
  <c r="U76" i="17" a="1"/>
  <c r="U76" i="17" s="1"/>
  <c r="U77" i="17" a="1"/>
  <c r="U77" i="17"/>
  <c r="U132" i="17" a="1"/>
  <c r="U132" i="17" s="1"/>
  <c r="U133" i="17" a="1"/>
  <c r="U133" i="17" s="1"/>
  <c r="U134" i="17" a="1"/>
  <c r="U134" i="17" s="1"/>
  <c r="U135" i="17" a="1"/>
  <c r="U135" i="17" s="1"/>
  <c r="U136" i="17" a="1"/>
  <c r="U136" i="17"/>
  <c r="U137" i="17" a="1"/>
  <c r="U137" i="17" s="1"/>
  <c r="U192" i="17" a="1"/>
  <c r="U192" i="17" s="1"/>
  <c r="U193" i="17" a="1"/>
  <c r="U193" i="17"/>
  <c r="U194" i="17" a="1"/>
  <c r="U194" i="17" s="1"/>
  <c r="U195" i="17" a="1"/>
  <c r="U195" i="17"/>
  <c r="U196" i="17" a="1"/>
  <c r="U196" i="17" s="1"/>
  <c r="U197" i="17" a="1"/>
  <c r="U197" i="17" s="1"/>
  <c r="U252" i="17" a="1"/>
  <c r="U252" i="17" s="1"/>
  <c r="U253" i="17" a="1"/>
  <c r="U253" i="17" s="1"/>
  <c r="U254" i="17" a="1"/>
  <c r="U254" i="17" s="1"/>
  <c r="U255" i="17" a="1"/>
  <c r="U255" i="17" s="1"/>
  <c r="U256" i="17" a="1"/>
  <c r="U256" i="17" s="1"/>
  <c r="U257" i="17" a="1"/>
  <c r="U257" i="17" s="1"/>
  <c r="U3" i="17" a="1"/>
  <c r="U3" i="17" s="1"/>
  <c r="U13" i="17" a="1"/>
  <c r="U13" i="17" s="1"/>
  <c r="U23" i="17" a="1"/>
  <c r="U23" i="17" s="1"/>
  <c r="U33" i="17" a="1"/>
  <c r="U33" i="17" s="1"/>
  <c r="U43" i="17" a="1"/>
  <c r="U43" i="17" s="1"/>
  <c r="U53" i="17" a="1"/>
  <c r="U53" i="17" s="1"/>
  <c r="U63" i="17" a="1"/>
  <c r="U63" i="17" s="1"/>
  <c r="U78" i="17" a="1"/>
  <c r="U78" i="17"/>
  <c r="U79" i="17" a="1"/>
  <c r="U79" i="17" s="1"/>
  <c r="U80" i="17" a="1"/>
  <c r="U80" i="17"/>
  <c r="U81" i="17" a="1"/>
  <c r="U81" i="17" s="1"/>
  <c r="U82" i="17" a="1"/>
  <c r="U82" i="17" s="1"/>
  <c r="U83" i="17" a="1"/>
  <c r="U83" i="17" s="1"/>
  <c r="U138" i="17" a="1"/>
  <c r="U138" i="17" s="1"/>
  <c r="U139" i="17" a="1"/>
  <c r="U139" i="17" s="1"/>
  <c r="U140" i="17" a="1"/>
  <c r="U140" i="17" s="1"/>
  <c r="U141" i="17" a="1"/>
  <c r="U141" i="17" s="1"/>
  <c r="U142" i="17" a="1"/>
  <c r="U142" i="17"/>
  <c r="U143" i="17" a="1"/>
  <c r="U143" i="17" s="1"/>
  <c r="U198" i="17" a="1"/>
  <c r="U198" i="17" s="1"/>
  <c r="U199" i="17" a="1"/>
  <c r="U199" i="17" s="1"/>
  <c r="U200" i="17" a="1"/>
  <c r="U200" i="17"/>
  <c r="U201" i="17" a="1"/>
  <c r="U201" i="17" s="1"/>
  <c r="U202" i="17" a="1"/>
  <c r="U202" i="17" s="1"/>
  <c r="U203" i="17" a="1"/>
  <c r="U203" i="17" s="1"/>
  <c r="U258" i="17" a="1"/>
  <c r="U258" i="17" s="1"/>
  <c r="U259" i="17" a="1"/>
  <c r="U259" i="17" s="1"/>
  <c r="U260" i="17" a="1"/>
  <c r="U260" i="17"/>
  <c r="U261" i="17" a="1"/>
  <c r="U261" i="17" s="1"/>
  <c r="U262" i="17" a="1"/>
  <c r="U262" i="17" s="1"/>
  <c r="U263" i="17" a="1"/>
  <c r="U263" i="17" s="1"/>
  <c r="U4" i="17" a="1"/>
  <c r="U4" i="17" s="1"/>
  <c r="U14" i="17" a="1"/>
  <c r="U14" i="17" s="1"/>
  <c r="U24" i="17" a="1"/>
  <c r="U24" i="17" s="1"/>
  <c r="U34" i="17" a="1"/>
  <c r="U34" i="17" s="1"/>
  <c r="U44" i="17" a="1"/>
  <c r="U44" i="17"/>
  <c r="U54" i="17" a="1"/>
  <c r="U54" i="17" s="1"/>
  <c r="U64" i="17" a="1"/>
  <c r="U64" i="17" s="1"/>
  <c r="U84" i="17" a="1"/>
  <c r="U84" i="17" s="1"/>
  <c r="U85" i="17" a="1"/>
  <c r="U85" i="17" s="1"/>
  <c r="U86" i="17" a="1"/>
  <c r="U86" i="17" s="1"/>
  <c r="U87" i="17" a="1"/>
  <c r="U87" i="17" s="1"/>
  <c r="U88" i="17" a="1"/>
  <c r="U88" i="17" s="1"/>
  <c r="U89" i="17" a="1"/>
  <c r="U89" i="17" s="1"/>
  <c r="U144" i="17" a="1"/>
  <c r="U144" i="17" s="1"/>
  <c r="U145" i="17" a="1"/>
  <c r="U145" i="17"/>
  <c r="U146" i="17" a="1"/>
  <c r="U146" i="17" s="1"/>
  <c r="U147" i="17" a="1"/>
  <c r="U147" i="17"/>
  <c r="U148" i="17" a="1"/>
  <c r="U148" i="17"/>
  <c r="U149" i="17" a="1"/>
  <c r="U149" i="17" s="1"/>
  <c r="U204" i="17" a="1"/>
  <c r="U204" i="17" s="1"/>
  <c r="U205" i="17" a="1"/>
  <c r="U205" i="17" s="1"/>
  <c r="U206" i="17" a="1"/>
  <c r="U206" i="17" s="1"/>
  <c r="U207" i="17" a="1"/>
  <c r="U207" i="17" s="1"/>
  <c r="U208" i="17" a="1"/>
  <c r="U208" i="17" s="1"/>
  <c r="U209" i="17" a="1"/>
  <c r="U209" i="17" s="1"/>
  <c r="U264" i="17" a="1"/>
  <c r="U264" i="17" s="1"/>
  <c r="U265" i="17" a="1"/>
  <c r="U265" i="17" s="1"/>
  <c r="U266" i="17" a="1"/>
  <c r="U266" i="17" s="1"/>
  <c r="U267" i="17" a="1"/>
  <c r="U267" i="17" s="1"/>
  <c r="U268" i="17" a="1"/>
  <c r="U268" i="17" s="1"/>
  <c r="U269" i="17" a="1"/>
  <c r="U269" i="17"/>
  <c r="U5" i="17" a="1"/>
  <c r="U5" i="17" s="1"/>
  <c r="U15" i="17" a="1"/>
  <c r="U15" i="17" s="1"/>
  <c r="U25" i="17" a="1"/>
  <c r="U25" i="17" s="1"/>
  <c r="U35" i="17" a="1"/>
  <c r="U35" i="17" s="1"/>
  <c r="U45" i="17" a="1"/>
  <c r="U45" i="17"/>
  <c r="U55" i="17" a="1"/>
  <c r="U55" i="17" s="1"/>
  <c r="U65" i="17" a="1"/>
  <c r="U65" i="17" s="1"/>
  <c r="U90" i="17" a="1"/>
  <c r="U90" i="17" s="1"/>
  <c r="U91" i="17" a="1"/>
  <c r="U91" i="17" s="1"/>
  <c r="U92" i="17" a="1"/>
  <c r="U92" i="17" s="1"/>
  <c r="U93" i="17" a="1"/>
  <c r="U93" i="17" s="1"/>
  <c r="U94" i="17" a="1"/>
  <c r="U94" i="17" s="1"/>
  <c r="U95" i="17" a="1"/>
  <c r="U95" i="17" s="1"/>
  <c r="U150" i="17" a="1"/>
  <c r="U150" i="17" s="1"/>
  <c r="U151" i="17" a="1"/>
  <c r="U151" i="17" s="1"/>
  <c r="U152" i="17" a="1"/>
  <c r="U152" i="17" s="1"/>
  <c r="U153" i="17" a="1"/>
  <c r="U153" i="17" s="1"/>
  <c r="U154" i="17" a="1"/>
  <c r="U154" i="17" s="1"/>
  <c r="U155" i="17" a="1"/>
  <c r="U155" i="17" s="1"/>
  <c r="U210" i="17" a="1"/>
  <c r="U210" i="17" s="1"/>
  <c r="U211" i="17" a="1"/>
  <c r="U211" i="17" s="1"/>
  <c r="U212" i="17" a="1"/>
  <c r="U212" i="17" s="1"/>
  <c r="U213" i="17" a="1"/>
  <c r="U213" i="17"/>
  <c r="U214" i="17" a="1"/>
  <c r="U214" i="17" s="1"/>
  <c r="U215" i="17" a="1"/>
  <c r="U215" i="17" s="1"/>
  <c r="U270" i="17" a="1"/>
  <c r="U270" i="17" s="1"/>
  <c r="U271" i="17" a="1"/>
  <c r="U271" i="17" s="1"/>
  <c r="U272" i="17" a="1"/>
  <c r="U272" i="17" s="1"/>
  <c r="U273" i="17" a="1"/>
  <c r="U273" i="17" s="1"/>
  <c r="U274" i="17" a="1"/>
  <c r="U274" i="17" s="1"/>
  <c r="U275" i="17" a="1"/>
  <c r="U275" i="17" s="1"/>
  <c r="U6" i="17" a="1"/>
  <c r="U6" i="17"/>
  <c r="U16" i="17" a="1"/>
  <c r="U16" i="17" s="1"/>
  <c r="U26" i="17" a="1"/>
  <c r="U26" i="17" s="1"/>
  <c r="U36" i="17" a="1"/>
  <c r="U36" i="17" s="1"/>
  <c r="U46" i="17" a="1"/>
  <c r="U46" i="17" s="1"/>
  <c r="U56" i="17" a="1"/>
  <c r="U56" i="17" s="1"/>
  <c r="U66" i="17" a="1"/>
  <c r="U66" i="17" s="1"/>
  <c r="U96" i="17" a="1"/>
  <c r="U96" i="17" s="1"/>
  <c r="U97" i="17" a="1"/>
  <c r="U97" i="17" s="1"/>
  <c r="U98" i="17" a="1"/>
  <c r="U98" i="17" s="1"/>
  <c r="U99" i="17" a="1"/>
  <c r="U99" i="17" s="1"/>
  <c r="U100" i="17" a="1"/>
  <c r="U100" i="17" s="1"/>
  <c r="U101" i="17" a="1"/>
  <c r="U101" i="17" s="1"/>
  <c r="U156" i="17" a="1"/>
  <c r="U156" i="17"/>
  <c r="U157" i="17" a="1"/>
  <c r="U157" i="17"/>
  <c r="U158" i="17" a="1"/>
  <c r="U158" i="17" s="1"/>
  <c r="U159" i="17" a="1"/>
  <c r="U159" i="17" s="1"/>
  <c r="U160" i="17" a="1"/>
  <c r="U160" i="17" s="1"/>
  <c r="U161" i="17" a="1"/>
  <c r="U161" i="17" s="1"/>
  <c r="U216" i="17" a="1"/>
  <c r="U216" i="17" s="1"/>
  <c r="U217" i="17" a="1"/>
  <c r="U217" i="17" s="1"/>
  <c r="U218" i="17" a="1"/>
  <c r="U218" i="17" s="1"/>
  <c r="U219" i="17" a="1"/>
  <c r="U219" i="17" s="1"/>
  <c r="U220" i="17" a="1"/>
  <c r="U220" i="17" s="1"/>
  <c r="U221" i="17" a="1"/>
  <c r="U221" i="17" s="1"/>
  <c r="U276" i="17" a="1"/>
  <c r="U276" i="17" s="1"/>
  <c r="U277" i="17" a="1"/>
  <c r="U277" i="17" s="1"/>
  <c r="U278" i="17" a="1"/>
  <c r="U278" i="17" s="1"/>
  <c r="U279" i="17" a="1"/>
  <c r="U279" i="17" s="1"/>
  <c r="U280" i="17" a="1"/>
  <c r="U280" i="17" s="1"/>
  <c r="U281" i="17" a="1"/>
  <c r="U281" i="17" s="1"/>
  <c r="U7" i="17" a="1"/>
  <c r="U7" i="17" s="1"/>
  <c r="U17" i="17" a="1"/>
  <c r="U17" i="17" s="1"/>
  <c r="U27" i="17" a="1"/>
  <c r="U27" i="17" s="1"/>
  <c r="U37" i="17" a="1"/>
  <c r="U37" i="17" s="1"/>
  <c r="U47" i="17" a="1"/>
  <c r="U47" i="17" s="1"/>
  <c r="U57" i="17" a="1"/>
  <c r="U57" i="17" s="1"/>
  <c r="U67" i="17" a="1"/>
  <c r="U67" i="17" s="1"/>
  <c r="U102" i="17" a="1"/>
  <c r="U102" i="17" s="1"/>
  <c r="U103" i="17" a="1"/>
  <c r="U103" i="17" s="1"/>
  <c r="U104" i="17" a="1"/>
  <c r="U104" i="17"/>
  <c r="U105" i="17" a="1"/>
  <c r="U105" i="17" s="1"/>
  <c r="U106" i="17" a="1"/>
  <c r="U106" i="17" s="1"/>
  <c r="U107" i="17" a="1"/>
  <c r="U107" i="17" s="1"/>
  <c r="U162" i="17" a="1"/>
  <c r="U162" i="17" s="1"/>
  <c r="U163" i="17" a="1"/>
  <c r="U163" i="17" s="1"/>
  <c r="U164" i="17" a="1"/>
  <c r="U164" i="17" s="1"/>
  <c r="U165" i="17" a="1"/>
  <c r="U165" i="17" s="1"/>
  <c r="U166" i="17" a="1"/>
  <c r="U166" i="17" s="1"/>
  <c r="U167" i="17" a="1"/>
  <c r="U167" i="17" s="1"/>
  <c r="U222" i="17" a="1"/>
  <c r="U222" i="17" s="1"/>
  <c r="U223" i="17" a="1"/>
  <c r="U223" i="17" s="1"/>
  <c r="U224" i="17" a="1"/>
  <c r="U224" i="17" s="1"/>
  <c r="U225" i="17" a="1"/>
  <c r="U225" i="17" s="1"/>
  <c r="U226" i="17" a="1"/>
  <c r="U226" i="17" s="1"/>
  <c r="U227" i="17" a="1"/>
  <c r="U227" i="17" s="1"/>
  <c r="U282" i="17" a="1"/>
  <c r="U282" i="17" s="1"/>
  <c r="U283" i="17" a="1"/>
  <c r="U283" i="17" s="1"/>
  <c r="U284" i="17" a="1"/>
  <c r="U284" i="17"/>
  <c r="U285" i="17" a="1"/>
  <c r="U285" i="17" s="1"/>
  <c r="U286" i="17" a="1"/>
  <c r="U286" i="17" s="1"/>
  <c r="U287" i="17" a="1"/>
  <c r="U287" i="17" s="1"/>
  <c r="U8" i="17" a="1"/>
  <c r="U8" i="17" s="1"/>
  <c r="U18" i="17" a="1"/>
  <c r="U18" i="17" s="1"/>
  <c r="U28" i="17" a="1"/>
  <c r="U28" i="17" s="1"/>
  <c r="U38" i="17" a="1"/>
  <c r="U38" i="17" s="1"/>
  <c r="U48" i="17" a="1"/>
  <c r="U48" i="17" s="1"/>
  <c r="U58" i="17" a="1"/>
  <c r="U58" i="17" s="1"/>
  <c r="U68" i="17" a="1"/>
  <c r="U68" i="17" s="1"/>
  <c r="U108" i="17" a="1"/>
  <c r="U108" i="17" s="1"/>
  <c r="U109" i="17" a="1"/>
  <c r="U109" i="17" s="1"/>
  <c r="U110" i="17" a="1"/>
  <c r="U110" i="17" s="1"/>
  <c r="U111" i="17" a="1"/>
  <c r="U111" i="17" s="1"/>
  <c r="U112" i="17" a="1"/>
  <c r="U112" i="17" s="1"/>
  <c r="U113" i="17" a="1"/>
  <c r="U113" i="17" s="1"/>
  <c r="U168" i="17" a="1"/>
  <c r="U168" i="17" s="1"/>
  <c r="U169" i="17" a="1"/>
  <c r="U169" i="17" s="1"/>
  <c r="U170" i="17" a="1"/>
  <c r="U170" i="17" s="1"/>
  <c r="U171" i="17" a="1"/>
  <c r="U171" i="17" s="1"/>
  <c r="U172" i="17" a="1"/>
  <c r="U172" i="17" s="1"/>
  <c r="U173" i="17" a="1"/>
  <c r="U173" i="17" s="1"/>
  <c r="U228" i="17" a="1"/>
  <c r="U228" i="17" s="1"/>
  <c r="U229" i="17" a="1"/>
  <c r="U229" i="17" s="1"/>
  <c r="U230" i="17" a="1"/>
  <c r="U230" i="17" s="1"/>
  <c r="U231" i="17" a="1"/>
  <c r="U231" i="17" s="1"/>
  <c r="U232" i="17" a="1"/>
  <c r="U232" i="17" s="1"/>
  <c r="U233" i="17" a="1"/>
  <c r="U233" i="17" s="1"/>
  <c r="U288" i="17" a="1"/>
  <c r="U288" i="17" s="1"/>
  <c r="U289" i="17" a="1"/>
  <c r="U289" i="17" s="1"/>
  <c r="U290" i="17" a="1"/>
  <c r="U290" i="17" s="1"/>
  <c r="U291" i="17" a="1"/>
  <c r="U291" i="17" s="1"/>
  <c r="U292" i="17" a="1"/>
  <c r="U292" i="17" s="1"/>
  <c r="U293" i="17" a="1"/>
  <c r="U293" i="17" s="1"/>
  <c r="U9" i="17" a="1"/>
  <c r="U9" i="17" s="1"/>
  <c r="U19" i="17" a="1"/>
  <c r="U19" i="17" s="1"/>
  <c r="U29" i="17" a="1"/>
  <c r="U29" i="17" s="1"/>
  <c r="U39" i="17" a="1"/>
  <c r="U39" i="17" s="1"/>
  <c r="U49" i="17" a="1"/>
  <c r="U49" i="17" s="1"/>
  <c r="U59" i="17" a="1"/>
  <c r="U59" i="17"/>
  <c r="U69" i="17" a="1"/>
  <c r="U69" i="17" s="1"/>
  <c r="U114" i="17" a="1"/>
  <c r="U114" i="17" s="1"/>
  <c r="U115" i="17" a="1"/>
  <c r="U115" i="17" s="1"/>
  <c r="U116" i="17" a="1"/>
  <c r="U116" i="17" s="1"/>
  <c r="U117" i="17" a="1"/>
  <c r="U117" i="17" s="1"/>
  <c r="U118" i="17" a="1"/>
  <c r="U118" i="17" s="1"/>
  <c r="U119" i="17" a="1"/>
  <c r="U119" i="17" s="1"/>
  <c r="U174" i="17" a="1"/>
  <c r="U174" i="17" s="1"/>
  <c r="U175" i="17" a="1"/>
  <c r="U175" i="17" s="1"/>
  <c r="U176" i="17" a="1"/>
  <c r="U176" i="17" s="1"/>
  <c r="U177" i="17" a="1"/>
  <c r="U177" i="17" s="1"/>
  <c r="U178" i="17" a="1"/>
  <c r="U178" i="17" s="1"/>
  <c r="U179" i="17" a="1"/>
  <c r="U179" i="17"/>
  <c r="U234" i="17" a="1"/>
  <c r="U234" i="17" s="1"/>
  <c r="U235" i="17" a="1"/>
  <c r="U235" i="17" s="1"/>
  <c r="U236" i="17" a="1"/>
  <c r="U236" i="17" s="1"/>
  <c r="U237" i="17" a="1"/>
  <c r="U237" i="17" s="1"/>
  <c r="U238" i="17" a="1"/>
  <c r="U238" i="17" s="1"/>
  <c r="U239" i="17" a="1"/>
  <c r="U239" i="17" s="1"/>
  <c r="U294" i="17" a="1"/>
  <c r="U294" i="17" s="1"/>
  <c r="U295" i="17" a="1"/>
  <c r="U295" i="17" s="1"/>
  <c r="U296" i="17" a="1"/>
  <c r="U296" i="17" s="1"/>
  <c r="U297" i="17" a="1"/>
  <c r="U297" i="17" s="1"/>
  <c r="U298" i="17" a="1"/>
  <c r="U298" i="17" s="1"/>
  <c r="U299" i="17" a="1"/>
  <c r="U299" i="17" s="1"/>
  <c r="U10" i="17" a="1"/>
  <c r="U10" i="17" s="1"/>
  <c r="U20" i="17" a="1"/>
  <c r="U20" i="17" s="1"/>
  <c r="U30" i="17" a="1"/>
  <c r="U30" i="17" s="1"/>
  <c r="U40" i="17" a="1"/>
  <c r="U40" i="17" s="1"/>
  <c r="U50" i="17" a="1"/>
  <c r="U50" i="17" s="1"/>
  <c r="U60" i="17" a="1"/>
  <c r="U60" i="17" s="1"/>
  <c r="U70" i="17" a="1"/>
  <c r="U70" i="17"/>
  <c r="U120" i="17" a="1"/>
  <c r="U120" i="17" s="1"/>
  <c r="U121" i="17" a="1"/>
  <c r="U121" i="17"/>
  <c r="U122" i="17" a="1"/>
  <c r="U122" i="17" s="1"/>
  <c r="U123" i="17" a="1"/>
  <c r="U123" i="17" s="1"/>
  <c r="U124" i="17" a="1"/>
  <c r="U124" i="17" s="1"/>
  <c r="U125" i="17" a="1"/>
  <c r="U125" i="17" s="1"/>
  <c r="U180" i="17" a="1"/>
  <c r="U180" i="17" s="1"/>
  <c r="U181" i="17" a="1"/>
  <c r="U181" i="17" s="1"/>
  <c r="U182" i="17" a="1"/>
  <c r="U182" i="17" s="1"/>
  <c r="U183" i="17" a="1"/>
  <c r="U183" i="17" s="1"/>
  <c r="U184" i="17" a="1"/>
  <c r="U184" i="17" s="1"/>
  <c r="U185" i="17" a="1"/>
  <c r="U185" i="17" s="1"/>
  <c r="U240" i="17" a="1"/>
  <c r="U240" i="17" s="1"/>
  <c r="U241" i="17" a="1"/>
  <c r="U241" i="17" s="1"/>
  <c r="U242" i="17" a="1"/>
  <c r="U242" i="17" s="1"/>
  <c r="U243" i="17" a="1"/>
  <c r="U243" i="17" s="1"/>
  <c r="U244" i="17" a="1"/>
  <c r="U244" i="17" s="1"/>
  <c r="U245" i="17" a="1"/>
  <c r="U245" i="17" s="1"/>
  <c r="U300" i="17" a="1"/>
  <c r="U300" i="17" s="1"/>
  <c r="U301" i="17" a="1"/>
  <c r="U301" i="17"/>
  <c r="U302" i="17" a="1"/>
  <c r="U302" i="17" s="1"/>
  <c r="U303" i="17" a="1"/>
  <c r="U303" i="17" s="1"/>
  <c r="U304" i="17" a="1"/>
  <c r="U304" i="17" s="1"/>
  <c r="U305" i="17" a="1"/>
  <c r="U305" i="17" s="1"/>
  <c r="U11" i="17" a="1"/>
  <c r="U11" i="17" s="1"/>
  <c r="U21" i="17" a="1"/>
  <c r="U21" i="17" s="1"/>
  <c r="U31" i="17" a="1"/>
  <c r="U31" i="17" s="1"/>
  <c r="U41" i="17" a="1"/>
  <c r="U41" i="17" s="1"/>
  <c r="U51" i="17" a="1"/>
  <c r="U51" i="17" s="1"/>
  <c r="U61" i="17" a="1"/>
  <c r="U61" i="17" s="1"/>
  <c r="U71" i="17" a="1"/>
  <c r="U71" i="17" s="1"/>
  <c r="U126" i="17" a="1"/>
  <c r="U126" i="17" s="1"/>
  <c r="U127" i="17" a="1"/>
  <c r="U127" i="17"/>
  <c r="U128" i="17" a="1"/>
  <c r="U128" i="17" s="1"/>
  <c r="U129" i="17" a="1"/>
  <c r="U129" i="17" s="1"/>
  <c r="U130" i="17" a="1"/>
  <c r="U130" i="17" s="1"/>
  <c r="U131" i="17" a="1"/>
  <c r="U131" i="17" s="1"/>
  <c r="U186" i="17" a="1"/>
  <c r="U186" i="17"/>
  <c r="U187" i="17" a="1"/>
  <c r="U187" i="17" s="1"/>
  <c r="U188" i="17" a="1"/>
  <c r="U188" i="17" s="1"/>
  <c r="U189" i="17" a="1"/>
  <c r="U189" i="17" s="1"/>
  <c r="U190" i="17" a="1"/>
  <c r="U190" i="17" s="1"/>
  <c r="U191" i="17" a="1"/>
  <c r="U191" i="17" s="1"/>
  <c r="U246" i="17" a="1"/>
  <c r="U246" i="17" s="1"/>
  <c r="U247" i="17" a="1"/>
  <c r="U247" i="17" s="1"/>
  <c r="U248" i="17" a="1"/>
  <c r="U248" i="17" s="1"/>
  <c r="U249" i="17" a="1"/>
  <c r="U249" i="17" s="1"/>
  <c r="U250" i="17" a="1"/>
  <c r="U250" i="17" s="1"/>
  <c r="U251" i="17" a="1"/>
  <c r="U251" i="17" s="1"/>
  <c r="U306" i="17" a="1"/>
  <c r="U306" i="17" s="1"/>
  <c r="U307" i="17" a="1"/>
  <c r="U307" i="17" s="1"/>
  <c r="U308" i="17" a="1"/>
  <c r="U308" i="17" s="1"/>
  <c r="U309" i="17" a="1"/>
  <c r="U309" i="17" s="1"/>
  <c r="U310" i="17" a="1"/>
  <c r="U310" i="17" s="1"/>
  <c r="U311" i="17" a="1"/>
  <c r="U311" i="17" s="1"/>
  <c r="V2" i="17" a="1"/>
  <c r="V2" i="17"/>
  <c r="V12" i="17" a="1"/>
  <c r="V12" i="17" s="1"/>
  <c r="V22" i="17" a="1"/>
  <c r="V22" i="17" s="1"/>
  <c r="V32" i="17" a="1"/>
  <c r="V32" i="17" s="1"/>
  <c r="V42" i="17" a="1"/>
  <c r="V42" i="17" s="1"/>
  <c r="V52" i="17" a="1"/>
  <c r="V52" i="17" s="1"/>
  <c r="V62" i="17" a="1"/>
  <c r="V62" i="17" s="1"/>
  <c r="V72" i="17" a="1"/>
  <c r="V72" i="17" s="1"/>
  <c r="V73" i="17" a="1"/>
  <c r="V73" i="17" s="1"/>
  <c r="V74" i="17" a="1"/>
  <c r="V74" i="17" s="1"/>
  <c r="V75" i="17" a="1"/>
  <c r="V75" i="17" s="1"/>
  <c r="V76" i="17" a="1"/>
  <c r="V76" i="17" s="1"/>
  <c r="V77" i="17" a="1"/>
  <c r="V77" i="17" s="1"/>
  <c r="V132" i="17" a="1"/>
  <c r="V132" i="17"/>
  <c r="V133" i="17" a="1"/>
  <c r="V133" i="17" s="1"/>
  <c r="V134" i="17" a="1"/>
  <c r="V134" i="17" s="1"/>
  <c r="V135" i="17" a="1"/>
  <c r="V135" i="17" s="1"/>
  <c r="V136" i="17" a="1"/>
  <c r="V136" i="17" s="1"/>
  <c r="V137" i="17" a="1"/>
  <c r="V137" i="17"/>
  <c r="V192" i="17" a="1"/>
  <c r="V192" i="17" s="1"/>
  <c r="V193" i="17" a="1"/>
  <c r="V193" i="17" s="1"/>
  <c r="V194" i="17" a="1"/>
  <c r="V194" i="17" s="1"/>
  <c r="V195" i="17" a="1"/>
  <c r="V195" i="17" s="1"/>
  <c r="V196" i="17" a="1"/>
  <c r="V196" i="17" s="1"/>
  <c r="V197" i="17" a="1"/>
  <c r="V197" i="17" s="1"/>
  <c r="V252" i="17" a="1"/>
  <c r="V252" i="17" s="1"/>
  <c r="V253" i="17" a="1"/>
  <c r="V253" i="17" s="1"/>
  <c r="V254" i="17" a="1"/>
  <c r="V254" i="17" s="1"/>
  <c r="V255" i="17" a="1"/>
  <c r="V255" i="17" s="1"/>
  <c r="V256" i="17" a="1"/>
  <c r="V256" i="17" s="1"/>
  <c r="V257" i="17" a="1"/>
  <c r="V257" i="17" s="1"/>
  <c r="V3" i="17" a="1"/>
  <c r="V3" i="17" s="1"/>
  <c r="V13" i="17" a="1"/>
  <c r="V13" i="17" s="1"/>
  <c r="V23" i="17" a="1"/>
  <c r="V23" i="17" s="1"/>
  <c r="V33" i="17" a="1"/>
  <c r="V33" i="17" s="1"/>
  <c r="V43" i="17" a="1"/>
  <c r="V43" i="17" s="1"/>
  <c r="V53" i="17" a="1"/>
  <c r="V53" i="17" s="1"/>
  <c r="V63" i="17" a="1"/>
  <c r="V63" i="17" s="1"/>
  <c r="V78" i="17" a="1"/>
  <c r="V78" i="17" s="1"/>
  <c r="V79" i="17" a="1"/>
  <c r="V79" i="17" s="1"/>
  <c r="V80" i="17" a="1"/>
  <c r="V80" i="17" s="1"/>
  <c r="V81" i="17" a="1"/>
  <c r="V81" i="17" s="1"/>
  <c r="V82" i="17" a="1"/>
  <c r="V82" i="17" s="1"/>
  <c r="V83" i="17" a="1"/>
  <c r="V83" i="17" s="1"/>
  <c r="V138" i="17" a="1"/>
  <c r="V138" i="17" s="1"/>
  <c r="V139" i="17" a="1"/>
  <c r="V139" i="17" s="1"/>
  <c r="V140" i="17" a="1"/>
  <c r="V140" i="17" s="1"/>
  <c r="V141" i="17" a="1"/>
  <c r="V141" i="17" s="1"/>
  <c r="V142" i="17" a="1"/>
  <c r="V142" i="17" s="1"/>
  <c r="V143" i="17" a="1"/>
  <c r="V143" i="17" s="1"/>
  <c r="V198" i="17" a="1"/>
  <c r="V198" i="17" s="1"/>
  <c r="V199" i="17" a="1"/>
  <c r="V199" i="17" s="1"/>
  <c r="V200" i="17" a="1"/>
  <c r="V200" i="17" s="1"/>
  <c r="V201" i="17" a="1"/>
  <c r="V201" i="17" s="1"/>
  <c r="V202" i="17" a="1"/>
  <c r="V202" i="17" s="1"/>
  <c r="V203" i="17" a="1"/>
  <c r="V203" i="17" s="1"/>
  <c r="V258" i="17" a="1"/>
  <c r="V258" i="17" s="1"/>
  <c r="V259" i="17" a="1"/>
  <c r="V259" i="17"/>
  <c r="V260" i="17" a="1"/>
  <c r="V260" i="17" s="1"/>
  <c r="V261" i="17" a="1"/>
  <c r="V261" i="17" s="1"/>
  <c r="V262" i="17" a="1"/>
  <c r="V262" i="17" s="1"/>
  <c r="V263" i="17" a="1"/>
  <c r="V263" i="17" s="1"/>
  <c r="V4" i="17" a="1"/>
  <c r="V4" i="17"/>
  <c r="V14" i="17" a="1"/>
  <c r="V14" i="17" s="1"/>
  <c r="V24" i="17" a="1"/>
  <c r="V24" i="17" s="1"/>
  <c r="V34" i="17" a="1"/>
  <c r="V34" i="17" s="1"/>
  <c r="V44" i="17" a="1"/>
  <c r="V44" i="17" s="1"/>
  <c r="V54" i="17" a="1"/>
  <c r="V54" i="17"/>
  <c r="V64" i="17" a="1"/>
  <c r="V64" i="17" s="1"/>
  <c r="V84" i="17" a="1"/>
  <c r="V84" i="17"/>
  <c r="V85" i="17" a="1"/>
  <c r="V85" i="17" s="1"/>
  <c r="V86" i="17" a="1"/>
  <c r="V86" i="17" s="1"/>
  <c r="V87" i="17" a="1"/>
  <c r="V87" i="17" s="1"/>
  <c r="V88" i="17" a="1"/>
  <c r="V88" i="17" s="1"/>
  <c r="V89" i="17" a="1"/>
  <c r="V89" i="17" s="1"/>
  <c r="V144" i="17" a="1"/>
  <c r="V144" i="17" s="1"/>
  <c r="V145" i="17" a="1"/>
  <c r="V145" i="17" s="1"/>
  <c r="V146" i="17" a="1"/>
  <c r="V146" i="17" s="1"/>
  <c r="V147" i="17" a="1"/>
  <c r="V147" i="17" s="1"/>
  <c r="V148" i="17" a="1"/>
  <c r="V148" i="17" s="1"/>
  <c r="V149" i="17" a="1"/>
  <c r="V149" i="17" s="1"/>
  <c r="V204" i="17" a="1"/>
  <c r="V204" i="17" s="1"/>
  <c r="V205" i="17" a="1"/>
  <c r="V205" i="17" s="1"/>
  <c r="V206" i="17" a="1"/>
  <c r="V206" i="17" s="1"/>
  <c r="V207" i="17" a="1"/>
  <c r="V207" i="17" s="1"/>
  <c r="V208" i="17" a="1"/>
  <c r="V208" i="17"/>
  <c r="V209" i="17" a="1"/>
  <c r="V209" i="17" s="1"/>
  <c r="V264" i="17" a="1"/>
  <c r="V264" i="17" s="1"/>
  <c r="V265" i="17" a="1"/>
  <c r="V265" i="17" s="1"/>
  <c r="V266" i="17" a="1"/>
  <c r="V266" i="17" s="1"/>
  <c r="V267" i="17" a="1"/>
  <c r="V267" i="17" s="1"/>
  <c r="V268" i="17" a="1"/>
  <c r="V268" i="17" s="1"/>
  <c r="V269" i="17" a="1"/>
  <c r="V269" i="17" s="1"/>
  <c r="V5" i="17" a="1"/>
  <c r="V5" i="17" s="1"/>
  <c r="V15" i="17" a="1"/>
  <c r="V15" i="17" s="1"/>
  <c r="V25" i="17" a="1"/>
  <c r="V25" i="17" s="1"/>
  <c r="V35" i="17" a="1"/>
  <c r="V35" i="17" s="1"/>
  <c r="V45" i="17" a="1"/>
  <c r="V45" i="17" s="1"/>
  <c r="V55" i="17" a="1"/>
  <c r="V55" i="17" s="1"/>
  <c r="V65" i="17" a="1"/>
  <c r="V65" i="17" s="1"/>
  <c r="V90" i="17" a="1"/>
  <c r="V90" i="17" s="1"/>
  <c r="V91" i="17" a="1"/>
  <c r="V91" i="17" s="1"/>
  <c r="V92" i="17" a="1"/>
  <c r="V92" i="17" s="1"/>
  <c r="V93" i="17" a="1"/>
  <c r="V93" i="17" s="1"/>
  <c r="V94" i="17" a="1"/>
  <c r="V94" i="17" s="1"/>
  <c r="V95" i="17" a="1"/>
  <c r="V95" i="17" s="1"/>
  <c r="V150" i="17" a="1"/>
  <c r="V150" i="17" s="1"/>
  <c r="V151" i="17" a="1"/>
  <c r="V151" i="17" s="1"/>
  <c r="V152" i="17" a="1"/>
  <c r="V152" i="17" s="1"/>
  <c r="V153" i="17" a="1"/>
  <c r="V153" i="17" s="1"/>
  <c r="V154" i="17" a="1"/>
  <c r="V154" i="17" s="1"/>
  <c r="V155" i="17" a="1"/>
  <c r="V155" i="17" s="1"/>
  <c r="V210" i="17" a="1"/>
  <c r="V210" i="17" s="1"/>
  <c r="V211" i="17" a="1"/>
  <c r="V211" i="17" s="1"/>
  <c r="V212" i="17" a="1"/>
  <c r="V212" i="17" s="1"/>
  <c r="V213" i="17" a="1"/>
  <c r="V213" i="17" s="1"/>
  <c r="V214" i="17" a="1"/>
  <c r="V214" i="17"/>
  <c r="V215" i="17" a="1"/>
  <c r="V215" i="17" s="1"/>
  <c r="V270" i="17" a="1"/>
  <c r="V270" i="17" s="1"/>
  <c r="V271" i="17" a="1"/>
  <c r="V271" i="17" s="1"/>
  <c r="V272" i="17" a="1"/>
  <c r="V272" i="17" s="1"/>
  <c r="V273" i="17" a="1"/>
  <c r="V273" i="17" s="1"/>
  <c r="V274" i="17" a="1"/>
  <c r="V274" i="17" s="1"/>
  <c r="V275" i="17" a="1"/>
  <c r="V275" i="17" s="1"/>
  <c r="V6" i="17" a="1"/>
  <c r="V6" i="17" s="1"/>
  <c r="V16" i="17" a="1"/>
  <c r="V16" i="17" s="1"/>
  <c r="V26" i="17" a="1"/>
  <c r="V26" i="17"/>
  <c r="V36" i="17" a="1"/>
  <c r="V36" i="17" s="1"/>
  <c r="V46" i="17" a="1"/>
  <c r="V46" i="17" s="1"/>
  <c r="V56" i="17" a="1"/>
  <c r="V56" i="17" s="1"/>
  <c r="V66" i="17" a="1"/>
  <c r="V66" i="17" s="1"/>
  <c r="V96" i="17" a="1"/>
  <c r="V96" i="17" s="1"/>
  <c r="V97" i="17" a="1"/>
  <c r="V97" i="17" s="1"/>
  <c r="V98" i="17" a="1"/>
  <c r="V98" i="17" s="1"/>
  <c r="V99" i="17" a="1"/>
  <c r="V99" i="17" s="1"/>
  <c r="V100" i="17" a="1"/>
  <c r="V100" i="17" s="1"/>
  <c r="V101" i="17" a="1"/>
  <c r="V101" i="17" s="1"/>
  <c r="V156" i="17" a="1"/>
  <c r="V156" i="17" s="1"/>
  <c r="V157" i="17" a="1"/>
  <c r="V157" i="17" s="1"/>
  <c r="V158" i="17" a="1"/>
  <c r="V158" i="17" s="1"/>
  <c r="V159" i="17" a="1"/>
  <c r="V159" i="17" s="1"/>
  <c r="V160" i="17" a="1"/>
  <c r="V160" i="17" s="1"/>
  <c r="V161" i="17" a="1"/>
  <c r="V161" i="17"/>
  <c r="V216" i="17" a="1"/>
  <c r="V216" i="17" s="1"/>
  <c r="V217" i="17" a="1"/>
  <c r="V217" i="17" s="1"/>
  <c r="V218" i="17" a="1"/>
  <c r="V218" i="17" s="1"/>
  <c r="V219" i="17" a="1"/>
  <c r="V219" i="17" s="1"/>
  <c r="V220" i="17" a="1"/>
  <c r="V220" i="17"/>
  <c r="V221" i="17" a="1"/>
  <c r="V221" i="17" s="1"/>
  <c r="V276" i="17" a="1"/>
  <c r="V276" i="17" s="1"/>
  <c r="V277" i="17" a="1"/>
  <c r="V277" i="17" s="1"/>
  <c r="V278" i="17" a="1"/>
  <c r="V278" i="17" s="1"/>
  <c r="V279" i="17" a="1"/>
  <c r="V279" i="17"/>
  <c r="V280" i="17" a="1"/>
  <c r="V280" i="17" s="1"/>
  <c r="V281" i="17" a="1"/>
  <c r="V281" i="17" s="1"/>
  <c r="V7" i="17" a="1"/>
  <c r="V7" i="17" s="1"/>
  <c r="V17" i="17" a="1"/>
  <c r="V17" i="17" s="1"/>
  <c r="V27" i="17" a="1"/>
  <c r="V27" i="17"/>
  <c r="V37" i="17" a="1"/>
  <c r="V37" i="17" s="1"/>
  <c r="V47" i="17" a="1"/>
  <c r="V47" i="17" s="1"/>
  <c r="V57" i="17" a="1"/>
  <c r="V57" i="17" s="1"/>
  <c r="V67" i="17" a="1"/>
  <c r="V67" i="17" s="1"/>
  <c r="V102" i="17" a="1"/>
  <c r="V102" i="17" s="1"/>
  <c r="V103" i="17" a="1"/>
  <c r="V103" i="17" s="1"/>
  <c r="V104" i="17" a="1"/>
  <c r="V104" i="17" s="1"/>
  <c r="V105" i="17" a="1"/>
  <c r="V105" i="17"/>
  <c r="V106" i="17" a="1"/>
  <c r="V106" i="17" s="1"/>
  <c r="V107" i="17" a="1"/>
  <c r="V107" i="17" s="1"/>
  <c r="V162" i="17" a="1"/>
  <c r="V162" i="17" s="1"/>
  <c r="V163" i="17" a="1"/>
  <c r="V163" i="17" s="1"/>
  <c r="V164" i="17" a="1"/>
  <c r="V164" i="17" s="1"/>
  <c r="V165" i="17" a="1"/>
  <c r="V165" i="17" s="1"/>
  <c r="V166" i="17" a="1"/>
  <c r="V166" i="17" s="1"/>
  <c r="V167" i="17" a="1"/>
  <c r="V167" i="17" s="1"/>
  <c r="V222" i="17" a="1"/>
  <c r="V222" i="17" s="1"/>
  <c r="V223" i="17" a="1"/>
  <c r="V223" i="17" s="1"/>
  <c r="V224" i="17" a="1"/>
  <c r="V224" i="17" s="1"/>
  <c r="V225" i="17" a="1"/>
  <c r="V225" i="17" s="1"/>
  <c r="V226" i="17" a="1"/>
  <c r="V226" i="17" s="1"/>
  <c r="V227" i="17" a="1"/>
  <c r="V227" i="17" s="1"/>
  <c r="V282" i="17" a="1"/>
  <c r="V282" i="17" s="1"/>
  <c r="V283" i="17" a="1"/>
  <c r="V283" i="17" s="1"/>
  <c r="V284" i="17" a="1"/>
  <c r="V284" i="17" s="1"/>
  <c r="V285" i="17" a="1"/>
  <c r="V285" i="17" s="1"/>
  <c r="V286" i="17" a="1"/>
  <c r="V286" i="17" s="1"/>
  <c r="V287" i="17" a="1"/>
  <c r="V287" i="17" s="1"/>
  <c r="V8" i="17" a="1"/>
  <c r="V8" i="17" s="1"/>
  <c r="V18" i="17" a="1"/>
  <c r="V18" i="17" s="1"/>
  <c r="V28" i="17" a="1"/>
  <c r="V28" i="17"/>
  <c r="V38" i="17" a="1"/>
  <c r="V38" i="17" s="1"/>
  <c r="V48" i="17" a="1"/>
  <c r="V48" i="17" s="1"/>
  <c r="V58" i="17" a="1"/>
  <c r="V58" i="17" s="1"/>
  <c r="V68" i="17" a="1"/>
  <c r="V68" i="17" s="1"/>
  <c r="V108" i="17" a="1"/>
  <c r="V108" i="17"/>
  <c r="V109" i="17" a="1"/>
  <c r="V109" i="17" s="1"/>
  <c r="V110" i="17" a="1"/>
  <c r="V110" i="17" s="1"/>
  <c r="V111" i="17" a="1"/>
  <c r="V111" i="17" s="1"/>
  <c r="V112" i="17" a="1"/>
  <c r="V112" i="17" s="1"/>
  <c r="V113" i="17" a="1"/>
  <c r="V113" i="17" s="1"/>
  <c r="V168" i="17" a="1"/>
  <c r="V168" i="17" s="1"/>
  <c r="V169" i="17" a="1"/>
  <c r="V169" i="17" s="1"/>
  <c r="V170" i="17" a="1"/>
  <c r="V170" i="17" s="1"/>
  <c r="V171" i="17" a="1"/>
  <c r="V171" i="17" s="1"/>
  <c r="V172" i="17" a="1"/>
  <c r="V172" i="17" s="1"/>
  <c r="V173" i="17" a="1"/>
  <c r="V173" i="17" s="1"/>
  <c r="V228" i="17" a="1"/>
  <c r="V228" i="17" s="1"/>
  <c r="V229" i="17" a="1"/>
  <c r="V229" i="17" s="1"/>
  <c r="V230" i="17" a="1"/>
  <c r="V230" i="17" s="1"/>
  <c r="V231" i="17" a="1"/>
  <c r="V231" i="17" s="1"/>
  <c r="V232" i="17" a="1"/>
  <c r="V232" i="17" s="1"/>
  <c r="V233" i="17" a="1"/>
  <c r="V233" i="17" s="1"/>
  <c r="V288" i="17" a="1"/>
  <c r="V288" i="17" s="1"/>
  <c r="V289" i="17" a="1"/>
  <c r="V289" i="17" s="1"/>
  <c r="V290" i="17" a="1"/>
  <c r="V290" i="17" s="1"/>
  <c r="V291" i="17" a="1"/>
  <c r="V291" i="17" s="1"/>
  <c r="V292" i="17" a="1"/>
  <c r="V292" i="17" s="1"/>
  <c r="V293" i="17" a="1"/>
  <c r="V293" i="17" s="1"/>
  <c r="V9" i="17" a="1"/>
  <c r="V9" i="17" s="1"/>
  <c r="V19" i="17" a="1"/>
  <c r="V19" i="17" s="1"/>
  <c r="V29" i="17" a="1"/>
  <c r="V29" i="17" s="1"/>
  <c r="V39" i="17" a="1"/>
  <c r="V39" i="17" s="1"/>
  <c r="V49" i="17" a="1"/>
  <c r="V49" i="17" s="1"/>
  <c r="V59" i="17" a="1"/>
  <c r="V59" i="17" s="1"/>
  <c r="V69" i="17" a="1"/>
  <c r="V69" i="17" s="1"/>
  <c r="V114" i="17" a="1"/>
  <c r="V114" i="17" s="1"/>
  <c r="V115" i="17" a="1"/>
  <c r="V115" i="17" s="1"/>
  <c r="V116" i="17" a="1"/>
  <c r="V116" i="17" s="1"/>
  <c r="V117" i="17" a="1"/>
  <c r="V117" i="17" s="1"/>
  <c r="V118" i="17" a="1"/>
  <c r="V118" i="17" s="1"/>
  <c r="V119" i="17" a="1"/>
  <c r="V119" i="17" s="1"/>
  <c r="V174" i="17" a="1"/>
  <c r="V174" i="17" s="1"/>
  <c r="V175" i="17" a="1"/>
  <c r="V175" i="17" s="1"/>
  <c r="V176" i="17" a="1"/>
  <c r="V176" i="17" s="1"/>
  <c r="V177" i="17" a="1"/>
  <c r="V177" i="17" s="1"/>
  <c r="V178" i="17" a="1"/>
  <c r="V178" i="17" s="1"/>
  <c r="V179" i="17" a="1"/>
  <c r="V179" i="17" s="1"/>
  <c r="V234" i="17" a="1"/>
  <c r="V234" i="17" s="1"/>
  <c r="V235" i="17" a="1"/>
  <c r="V235" i="17" s="1"/>
  <c r="V236" i="17" a="1"/>
  <c r="V236" i="17" s="1"/>
  <c r="V237" i="17" a="1"/>
  <c r="V237" i="17" s="1"/>
  <c r="V238" i="17" a="1"/>
  <c r="V238" i="17" s="1"/>
  <c r="V239" i="17" a="1"/>
  <c r="V239" i="17" s="1"/>
  <c r="V294" i="17" a="1"/>
  <c r="V294" i="17" s="1"/>
  <c r="V295" i="17" a="1"/>
  <c r="V295" i="17" s="1"/>
  <c r="V296" i="17" a="1"/>
  <c r="V296" i="17" s="1"/>
  <c r="V297" i="17" a="1"/>
  <c r="V297" i="17" s="1"/>
  <c r="V298" i="17" a="1"/>
  <c r="V298" i="17" s="1"/>
  <c r="V299" i="17" a="1"/>
  <c r="V299" i="17" s="1"/>
  <c r="V10" i="17" a="1"/>
  <c r="V10" i="17" s="1"/>
  <c r="V20" i="17" a="1"/>
  <c r="V20" i="17" s="1"/>
  <c r="V30" i="17" a="1"/>
  <c r="V30" i="17" s="1"/>
  <c r="V40" i="17" a="1"/>
  <c r="V40" i="17" s="1"/>
  <c r="V50" i="17" a="1"/>
  <c r="V50" i="17" s="1"/>
  <c r="V60" i="17" a="1"/>
  <c r="V60" i="17" s="1"/>
  <c r="V70" i="17" a="1"/>
  <c r="V70" i="17" s="1"/>
  <c r="V120" i="17" a="1"/>
  <c r="V120" i="17" s="1"/>
  <c r="V121" i="17" a="1"/>
  <c r="V121" i="17" s="1"/>
  <c r="V122" i="17" a="1"/>
  <c r="V122" i="17" s="1"/>
  <c r="V123" i="17" a="1"/>
  <c r="V123" i="17" s="1"/>
  <c r="V124" i="17" a="1"/>
  <c r="V124" i="17" s="1"/>
  <c r="V125" i="17" a="1"/>
  <c r="V125" i="17" s="1"/>
  <c r="V180" i="17" a="1"/>
  <c r="V180" i="17" s="1"/>
  <c r="V181" i="17" a="1"/>
  <c r="V181" i="17" s="1"/>
  <c r="V182" i="17" a="1"/>
  <c r="V182" i="17" s="1"/>
  <c r="V183" i="17" a="1"/>
  <c r="V183" i="17" s="1"/>
  <c r="V184" i="17" a="1"/>
  <c r="V184" i="17" s="1"/>
  <c r="V185" i="17" a="1"/>
  <c r="V185" i="17" s="1"/>
  <c r="V240" i="17" a="1"/>
  <c r="V240" i="17" s="1"/>
  <c r="V241" i="17" a="1"/>
  <c r="V241" i="17" s="1"/>
  <c r="V242" i="17" a="1"/>
  <c r="V242" i="17" s="1"/>
  <c r="V243" i="17" a="1"/>
  <c r="V243" i="17" s="1"/>
  <c r="V244" i="17" a="1"/>
  <c r="V244" i="17"/>
  <c r="V245" i="17" a="1"/>
  <c r="V245" i="17" s="1"/>
  <c r="V300" i="17" a="1"/>
  <c r="V300" i="17" s="1"/>
  <c r="V301" i="17" a="1"/>
  <c r="V301" i="17" s="1"/>
  <c r="V302" i="17" a="1"/>
  <c r="V302" i="17" s="1"/>
  <c r="V303" i="17" a="1"/>
  <c r="V303" i="17" s="1"/>
  <c r="V304" i="17" a="1"/>
  <c r="V304" i="17" s="1"/>
  <c r="V305" i="17" a="1"/>
  <c r="V305" i="17" s="1"/>
  <c r="V11" i="17" a="1"/>
  <c r="V11" i="17" s="1"/>
  <c r="V21" i="17" a="1"/>
  <c r="V21" i="17" s="1"/>
  <c r="V31" i="17" a="1"/>
  <c r="V31" i="17" s="1"/>
  <c r="V41" i="17" a="1"/>
  <c r="V41" i="17" s="1"/>
  <c r="V51" i="17" a="1"/>
  <c r="V51" i="17" s="1"/>
  <c r="V61" i="17" a="1"/>
  <c r="V61" i="17"/>
  <c r="V71" i="17" a="1"/>
  <c r="V71" i="17" s="1"/>
  <c r="V126" i="17" a="1"/>
  <c r="V126" i="17" s="1"/>
  <c r="V127" i="17" a="1"/>
  <c r="V127" i="17" s="1"/>
  <c r="V128" i="17" a="1"/>
  <c r="V128" i="17" s="1"/>
  <c r="V129" i="17" a="1"/>
  <c r="V129" i="17" s="1"/>
  <c r="V130" i="17" a="1"/>
  <c r="V130" i="17" s="1"/>
  <c r="V131" i="17" a="1"/>
  <c r="V131" i="17" s="1"/>
  <c r="V186" i="17" a="1"/>
  <c r="V186" i="17" s="1"/>
  <c r="V187" i="17" a="1"/>
  <c r="V187" i="17" s="1"/>
  <c r="V188" i="17" a="1"/>
  <c r="V188" i="17"/>
  <c r="V189" i="17" a="1"/>
  <c r="V189" i="17" s="1"/>
  <c r="V190" i="17" a="1"/>
  <c r="V190" i="17" s="1"/>
  <c r="V191" i="17" a="1"/>
  <c r="V191" i="17" s="1"/>
  <c r="V246" i="17" a="1"/>
  <c r="V246" i="17" s="1"/>
  <c r="V247" i="17" a="1"/>
  <c r="V247" i="17" s="1"/>
  <c r="V248" i="17" a="1"/>
  <c r="V248" i="17" s="1"/>
  <c r="V249" i="17" a="1"/>
  <c r="V249" i="17" s="1"/>
  <c r="V250" i="17" a="1"/>
  <c r="V250" i="17" s="1"/>
  <c r="V251" i="17" a="1"/>
  <c r="V251" i="17" s="1"/>
  <c r="V306" i="17" a="1"/>
  <c r="V306" i="17" s="1"/>
  <c r="V307" i="17" a="1"/>
  <c r="V307" i="17" s="1"/>
  <c r="V308" i="17" a="1"/>
  <c r="V308" i="17" s="1"/>
  <c r="V309" i="17" a="1"/>
  <c r="V309" i="17" s="1"/>
  <c r="V310" i="17" a="1"/>
  <c r="V310" i="17" s="1"/>
  <c r="V311" i="17" a="1"/>
  <c r="V311" i="17" s="1"/>
  <c r="X2" i="17" a="1"/>
  <c r="X2" i="17" s="1"/>
  <c r="X12" i="17" a="1"/>
  <c r="X12" i="17" s="1"/>
  <c r="X22" i="17" a="1"/>
  <c r="X22" i="17" s="1"/>
  <c r="X32" i="17" a="1"/>
  <c r="X32" i="17" s="1"/>
  <c r="X42" i="17" a="1"/>
  <c r="X42" i="17" s="1"/>
  <c r="Y42" i="17" s="1"/>
  <c r="X52" i="17" a="1"/>
  <c r="X52" i="17" s="1"/>
  <c r="X62" i="17" a="1"/>
  <c r="X62" i="17" s="1"/>
  <c r="Y62" i="17" s="1"/>
  <c r="Q62" i="17" s="1"/>
  <c r="W62" i="17" s="1"/>
  <c r="X72" i="17" a="1"/>
  <c r="X72" i="17" s="1"/>
  <c r="Y72" i="17" s="1"/>
  <c r="Q72" i="17" s="1"/>
  <c r="W72" i="17" s="1"/>
  <c r="X73" i="17" a="1"/>
  <c r="X73" i="17" s="1"/>
  <c r="X74" i="17" a="1"/>
  <c r="X74" i="17" s="1"/>
  <c r="Y74" i="17" s="1"/>
  <c r="Q74" i="17" s="1"/>
  <c r="W74" i="17" s="1"/>
  <c r="X75" i="17" a="1"/>
  <c r="X75" i="17" s="1"/>
  <c r="Y75" i="17" s="1"/>
  <c r="Q75" i="17" s="1"/>
  <c r="W75" i="17" s="1"/>
  <c r="X76" i="17" a="1"/>
  <c r="X76" i="17" s="1"/>
  <c r="X77" i="17" a="1"/>
  <c r="X77" i="17" s="1"/>
  <c r="Y77" i="17" s="1"/>
  <c r="X132" i="17" a="1"/>
  <c r="X132" i="17" s="1"/>
  <c r="X133" i="17" a="1"/>
  <c r="X133" i="17" s="1"/>
  <c r="X134" i="17" a="1"/>
  <c r="X134" i="17" s="1"/>
  <c r="X135" i="17" a="1"/>
  <c r="X135" i="17" s="1"/>
  <c r="Y135" i="17" s="1"/>
  <c r="X136" i="17" a="1"/>
  <c r="X136" i="17" s="1"/>
  <c r="X137" i="17" a="1"/>
  <c r="X137" i="17" s="1"/>
  <c r="Y137" i="17" s="1"/>
  <c r="X192" i="17" a="1"/>
  <c r="X192" i="17" s="1"/>
  <c r="X193" i="17" a="1"/>
  <c r="X193" i="17" s="1"/>
  <c r="X194" i="17" a="1"/>
  <c r="X194" i="17" s="1"/>
  <c r="Y194" i="17" s="1"/>
  <c r="Q194" i="17" s="1"/>
  <c r="W194" i="17" s="1"/>
  <c r="X195" i="17" a="1"/>
  <c r="X195" i="17" s="1"/>
  <c r="Y195" i="17" s="1"/>
  <c r="Q195" i="17" s="1"/>
  <c r="W195" i="17" s="1"/>
  <c r="X196" i="17" a="1"/>
  <c r="X196" i="17" s="1"/>
  <c r="Y196" i="17" s="1"/>
  <c r="Q196" i="17" s="1"/>
  <c r="W196" i="17" s="1"/>
  <c r="X197" i="17" a="1"/>
  <c r="X197" i="17" s="1"/>
  <c r="Y197" i="17" s="1"/>
  <c r="Q197" i="17" s="1"/>
  <c r="W197" i="17" s="1"/>
  <c r="X252" i="17" a="1"/>
  <c r="X252" i="17" s="1"/>
  <c r="Y252" i="17" s="1"/>
  <c r="X253" i="17" a="1"/>
  <c r="X253" i="17" s="1"/>
  <c r="X254" i="17" a="1"/>
  <c r="X254" i="17" s="1"/>
  <c r="X255" i="17" a="1"/>
  <c r="X255" i="17" s="1"/>
  <c r="Y255" i="17" s="1"/>
  <c r="X256" i="17" a="1"/>
  <c r="X256" i="17" s="1"/>
  <c r="X257" i="17" a="1"/>
  <c r="X257" i="17" s="1"/>
  <c r="Y257" i="17" s="1"/>
  <c r="X3" i="17" a="1"/>
  <c r="X3" i="17" s="1"/>
  <c r="Y3" i="17" s="1"/>
  <c r="X13" i="17" a="1"/>
  <c r="X13" i="17" s="1"/>
  <c r="X23" i="17" a="1"/>
  <c r="X23" i="17" s="1"/>
  <c r="X33" i="17" a="1"/>
  <c r="X33" i="17" s="1"/>
  <c r="Y33" i="17" s="1"/>
  <c r="X43" i="17" a="1"/>
  <c r="X43" i="17" s="1"/>
  <c r="X53" i="17" a="1"/>
  <c r="X53" i="17" s="1"/>
  <c r="Y53" i="17" s="1"/>
  <c r="Q53" i="17" s="1"/>
  <c r="W53" i="17" s="1"/>
  <c r="X63" i="17" a="1"/>
  <c r="X63" i="17" s="1"/>
  <c r="X78" i="17" a="1"/>
  <c r="X78" i="17" s="1"/>
  <c r="X79" i="17" a="1"/>
  <c r="X79" i="17" s="1"/>
  <c r="X80" i="17" a="1"/>
  <c r="X80" i="17" s="1"/>
  <c r="X81" i="17" a="1"/>
  <c r="X81" i="17" s="1"/>
  <c r="Y81" i="17" s="1"/>
  <c r="Q81" i="17" s="1"/>
  <c r="W81" i="17" s="1"/>
  <c r="X82" i="17" a="1"/>
  <c r="X82" i="17" s="1"/>
  <c r="Y82" i="17" s="1"/>
  <c r="X83" i="17" a="1"/>
  <c r="X83" i="17" s="1"/>
  <c r="Y83" i="17" s="1"/>
  <c r="X138" i="17" a="1"/>
  <c r="X138" i="17" s="1"/>
  <c r="X139" i="17" a="1"/>
  <c r="X139" i="17" s="1"/>
  <c r="Y139" i="17" s="1"/>
  <c r="Q139" i="17" s="1"/>
  <c r="W139" i="17" s="1"/>
  <c r="X140" i="17" a="1"/>
  <c r="X140" i="17" s="1"/>
  <c r="Y140" i="17" s="1"/>
  <c r="Q140" i="17" s="1"/>
  <c r="W140" i="17" s="1"/>
  <c r="X141" i="17" a="1"/>
  <c r="X141" i="17" s="1"/>
  <c r="Y141" i="17" s="1"/>
  <c r="X142" i="17" a="1"/>
  <c r="X142" i="17" s="1"/>
  <c r="Y142" i="17" s="1"/>
  <c r="X143" i="17" a="1"/>
  <c r="X143" i="17" s="1"/>
  <c r="X198" i="17" a="1"/>
  <c r="X198" i="17" s="1"/>
  <c r="X199" i="17" a="1"/>
  <c r="X199" i="17" s="1"/>
  <c r="X200" i="17" a="1"/>
  <c r="X200" i="17" s="1"/>
  <c r="Y200" i="17" s="1"/>
  <c r="X201" i="17" a="1"/>
  <c r="X201" i="17" s="1"/>
  <c r="X202" i="17" a="1"/>
  <c r="X202" i="17" s="1"/>
  <c r="Y202" i="17" s="1"/>
  <c r="X203" i="17" a="1"/>
  <c r="X203" i="17" s="1"/>
  <c r="X258" i="17" a="1"/>
  <c r="X258" i="17" s="1"/>
  <c r="X259" i="17" a="1"/>
  <c r="X259" i="17" s="1"/>
  <c r="Y259" i="17" s="1"/>
  <c r="X260" i="17" a="1"/>
  <c r="X260" i="17" s="1"/>
  <c r="Y260" i="17" s="1"/>
  <c r="X261" i="17" a="1"/>
  <c r="X261" i="17" s="1"/>
  <c r="X262" i="17" a="1"/>
  <c r="X262" i="17" s="1"/>
  <c r="Y262" i="17" s="1"/>
  <c r="Q262" i="17" s="1"/>
  <c r="W262" i="17" s="1"/>
  <c r="X263" i="17" a="1"/>
  <c r="X263" i="17" s="1"/>
  <c r="Y263" i="17" s="1"/>
  <c r="X4" i="17" a="1"/>
  <c r="X4" i="17" s="1"/>
  <c r="X14" i="17" a="1"/>
  <c r="X14" i="17" s="1"/>
  <c r="X24" i="17" a="1"/>
  <c r="X24" i="17" s="1"/>
  <c r="Y24" i="17" s="1"/>
  <c r="X34" i="17" a="1"/>
  <c r="X34" i="17" s="1"/>
  <c r="X44" i="17" a="1"/>
  <c r="X44" i="17" s="1"/>
  <c r="Y44" i="17" s="1"/>
  <c r="Q44" i="17" s="1"/>
  <c r="W44" i="17" s="1"/>
  <c r="X54" i="17" a="1"/>
  <c r="X54" i="17" s="1"/>
  <c r="X64" i="17" a="1"/>
  <c r="X64" i="17" s="1"/>
  <c r="Y64" i="17" s="1"/>
  <c r="X84" i="17" a="1"/>
  <c r="X84" i="17" s="1"/>
  <c r="Y84" i="17" s="1"/>
  <c r="Q84" i="17" s="1"/>
  <c r="W84" i="17" s="1"/>
  <c r="X85" i="17" a="1"/>
  <c r="X85" i="17" s="1"/>
  <c r="X86" i="17" a="1"/>
  <c r="X86" i="17" s="1"/>
  <c r="X87" i="17" a="1"/>
  <c r="X87" i="17" s="1"/>
  <c r="Y87" i="17" s="1"/>
  <c r="X88" i="17" a="1"/>
  <c r="X88" i="17" s="1"/>
  <c r="Y88" i="17" s="1"/>
  <c r="X89" i="17" a="1"/>
  <c r="X89" i="17" s="1"/>
  <c r="X144" i="17" a="1"/>
  <c r="X144" i="17" s="1"/>
  <c r="X145" i="17" a="1"/>
  <c r="X145" i="17" s="1"/>
  <c r="Y145" i="17" s="1"/>
  <c r="X146" i="17" a="1"/>
  <c r="X146" i="17" s="1"/>
  <c r="Y146" i="17" s="1"/>
  <c r="X147" i="17" a="1"/>
  <c r="X147" i="17" s="1"/>
  <c r="Y147" i="17" s="1"/>
  <c r="Q147" i="17" s="1"/>
  <c r="W147" i="17" s="1"/>
  <c r="X148" i="17" a="1"/>
  <c r="X148" i="17" s="1"/>
  <c r="X149" i="17" a="1"/>
  <c r="X149" i="17" s="1"/>
  <c r="X204" i="17" a="1"/>
  <c r="X204" i="17" s="1"/>
  <c r="Y204" i="17" s="1"/>
  <c r="Q204" i="17" s="1"/>
  <c r="W204" i="17" s="1"/>
  <c r="X205" i="17" a="1"/>
  <c r="X205" i="17" s="1"/>
  <c r="Y205" i="17" s="1"/>
  <c r="Q205" i="17" s="1"/>
  <c r="W205" i="17" s="1"/>
  <c r="X206" i="17" a="1"/>
  <c r="X206" i="17" s="1"/>
  <c r="X207" i="17" a="1"/>
  <c r="X207" i="17" s="1"/>
  <c r="Y207" i="17" s="1"/>
  <c r="X208" i="17" a="1"/>
  <c r="X208" i="17" s="1"/>
  <c r="X209" i="17" a="1"/>
  <c r="X209" i="17" s="1"/>
  <c r="Y209" i="17" s="1"/>
  <c r="Q209" i="17" s="1"/>
  <c r="W209" i="17" s="1"/>
  <c r="X264" i="17" a="1"/>
  <c r="X264" i="17" s="1"/>
  <c r="X265" i="17" a="1"/>
  <c r="X265" i="17" s="1"/>
  <c r="X266" i="17" a="1"/>
  <c r="X266" i="17" s="1"/>
  <c r="X267" i="17" a="1"/>
  <c r="X267" i="17" s="1"/>
  <c r="Y267" i="17" s="1"/>
  <c r="X268" i="17" a="1"/>
  <c r="X268" i="17" s="1"/>
  <c r="X269" i="17" a="1"/>
  <c r="X269" i="17" s="1"/>
  <c r="X5" i="17" a="1"/>
  <c r="X5" i="17" s="1"/>
  <c r="Y5" i="17" s="1"/>
  <c r="Q5" i="17" s="1"/>
  <c r="W5" i="17" s="1"/>
  <c r="X15" i="17" a="1"/>
  <c r="X15" i="17" s="1"/>
  <c r="X25" i="17" a="1"/>
  <c r="X25" i="17" s="1"/>
  <c r="Y25" i="17" s="1"/>
  <c r="Q25" i="17" s="1"/>
  <c r="W25" i="17" s="1"/>
  <c r="X35" i="17" a="1"/>
  <c r="X35" i="17" s="1"/>
  <c r="Y35" i="17" s="1"/>
  <c r="Q35" i="17" s="1"/>
  <c r="W35" i="17" s="1"/>
  <c r="X45" i="17" a="1"/>
  <c r="X45" i="17" s="1"/>
  <c r="Y45" i="17" s="1"/>
  <c r="X55" i="17" a="1"/>
  <c r="X55" i="17" s="1"/>
  <c r="X65" i="17" a="1"/>
  <c r="X65" i="17" s="1"/>
  <c r="X90" i="17" a="1"/>
  <c r="X90" i="17" s="1"/>
  <c r="Y90" i="17" s="1"/>
  <c r="Q90" i="17" s="1"/>
  <c r="W90" i="17" s="1"/>
  <c r="X91" i="17" a="1"/>
  <c r="X91" i="17" s="1"/>
  <c r="X92" i="17" a="1"/>
  <c r="X92" i="17" s="1"/>
  <c r="Y92" i="17" s="1"/>
  <c r="Q92" i="17" s="1"/>
  <c r="W92" i="17" s="1"/>
  <c r="X93" i="17" a="1"/>
  <c r="X93" i="17" s="1"/>
  <c r="X94" i="17" a="1"/>
  <c r="X94" i="17" s="1"/>
  <c r="X95" i="17" a="1"/>
  <c r="X95" i="17" s="1"/>
  <c r="Y95" i="17" s="1"/>
  <c r="Q95" i="17" s="1"/>
  <c r="W95" i="17" s="1"/>
  <c r="X150" i="17" a="1"/>
  <c r="X150" i="17" s="1"/>
  <c r="Y150" i="17" s="1"/>
  <c r="Q150" i="17" s="1"/>
  <c r="W150" i="17" s="1"/>
  <c r="X151" i="17" a="1"/>
  <c r="X151" i="17" s="1"/>
  <c r="Y151" i="17" s="1"/>
  <c r="Q151" i="17" s="1"/>
  <c r="W151" i="17" s="1"/>
  <c r="X152" i="17" a="1"/>
  <c r="X152" i="17" s="1"/>
  <c r="Y152" i="17" s="1"/>
  <c r="X153" i="17" a="1"/>
  <c r="X153" i="17" s="1"/>
  <c r="Y153" i="17" s="1"/>
  <c r="Q153" i="17" s="1"/>
  <c r="W153" i="17" s="1"/>
  <c r="X154" i="17" a="1"/>
  <c r="X154" i="17" s="1"/>
  <c r="Y154" i="17" s="1"/>
  <c r="X155" i="17" a="1"/>
  <c r="X155" i="17" s="1"/>
  <c r="X210" i="17" a="1"/>
  <c r="X210" i="17" s="1"/>
  <c r="Y210" i="17" s="1"/>
  <c r="Q210" i="17" s="1"/>
  <c r="W210" i="17" s="1"/>
  <c r="X211" i="17" a="1"/>
  <c r="X211" i="17" s="1"/>
  <c r="Y211" i="17" s="1"/>
  <c r="Q211" i="17" s="1"/>
  <c r="W211" i="17" s="1"/>
  <c r="X212" i="17" a="1"/>
  <c r="X212" i="17" s="1"/>
  <c r="Y212" i="17" s="1"/>
  <c r="X213" i="17" a="1"/>
  <c r="X213" i="17" s="1"/>
  <c r="Y213" i="17" s="1"/>
  <c r="Q213" i="17" s="1"/>
  <c r="W213" i="17" s="1"/>
  <c r="X214" i="17" a="1"/>
  <c r="X214" i="17" s="1"/>
  <c r="X215" i="17" a="1"/>
  <c r="X215" i="17" s="1"/>
  <c r="Y215" i="17" s="1"/>
  <c r="Q215" i="17" s="1"/>
  <c r="W215" i="17" s="1"/>
  <c r="X270" i="17" a="1"/>
  <c r="X270" i="17" s="1"/>
  <c r="X271" i="17" a="1"/>
  <c r="X271" i="17" s="1"/>
  <c r="X272" i="17" a="1"/>
  <c r="X272" i="17" s="1"/>
  <c r="Y272" i="17" s="1"/>
  <c r="Q272" i="17" s="1"/>
  <c r="W272" i="17" s="1"/>
  <c r="X273" i="17" a="1"/>
  <c r="X273" i="17" s="1"/>
  <c r="X274" i="17" a="1"/>
  <c r="X274" i="17" s="1"/>
  <c r="X275" i="17" a="1"/>
  <c r="X275" i="17" s="1"/>
  <c r="X6" i="17" a="1"/>
  <c r="X6" i="17" s="1"/>
  <c r="X16" i="17" a="1"/>
  <c r="X16" i="17" s="1"/>
  <c r="Y16" i="17" s="1"/>
  <c r="Q16" i="17" s="1"/>
  <c r="W16" i="17" s="1"/>
  <c r="X26" i="17" a="1"/>
  <c r="X26" i="17" s="1"/>
  <c r="Y26" i="17" s="1"/>
  <c r="Q26" i="17" s="1"/>
  <c r="W26" i="17" s="1"/>
  <c r="X36" i="17" a="1"/>
  <c r="X36" i="17" s="1"/>
  <c r="Y36" i="17" s="1"/>
  <c r="X46" i="17" a="1"/>
  <c r="X46" i="17" s="1"/>
  <c r="X56" i="17" a="1"/>
  <c r="X56" i="17" s="1"/>
  <c r="X66" i="17" a="1"/>
  <c r="X66" i="17" s="1"/>
  <c r="X96" i="17" a="1"/>
  <c r="X96" i="17" s="1"/>
  <c r="X97" i="17" a="1"/>
  <c r="X97" i="17" s="1"/>
  <c r="Y97" i="17" s="1"/>
  <c r="X98" i="17" a="1"/>
  <c r="X98" i="17" s="1"/>
  <c r="Y98" i="17" s="1"/>
  <c r="Q98" i="17" s="1"/>
  <c r="W98" i="17" s="1"/>
  <c r="X99" i="17" a="1"/>
  <c r="X99" i="17" s="1"/>
  <c r="Y99" i="17" s="1"/>
  <c r="Q99" i="17" s="1"/>
  <c r="W99" i="17" s="1"/>
  <c r="X100" i="17" a="1"/>
  <c r="X100" i="17" s="1"/>
  <c r="X101" i="17" a="1"/>
  <c r="X101" i="17" s="1"/>
  <c r="Y101" i="17" s="1"/>
  <c r="X156" i="17" a="1"/>
  <c r="X156" i="17" s="1"/>
  <c r="X157" i="17" a="1"/>
  <c r="X157" i="17" s="1"/>
  <c r="Y157" i="17" s="1"/>
  <c r="Q157" i="17" s="1"/>
  <c r="W157" i="17" s="1"/>
  <c r="X158" i="17" a="1"/>
  <c r="X158" i="17" s="1"/>
  <c r="Y158" i="17" s="1"/>
  <c r="Q158" i="17" s="1"/>
  <c r="W158" i="17" s="1"/>
  <c r="X159" i="17" a="1"/>
  <c r="X159" i="17" s="1"/>
  <c r="Y159" i="17" s="1"/>
  <c r="X160" i="17" a="1"/>
  <c r="X160" i="17" s="1"/>
  <c r="Y160" i="17" s="1"/>
  <c r="Q160" i="17" s="1"/>
  <c r="W160" i="17" s="1"/>
  <c r="X161" i="17" a="1"/>
  <c r="X161" i="17" s="1"/>
  <c r="X216" i="17" a="1"/>
  <c r="X216" i="17" s="1"/>
  <c r="X217" i="17" a="1"/>
  <c r="X217" i="17" s="1"/>
  <c r="Y217" i="17" s="1"/>
  <c r="X218" i="17" a="1"/>
  <c r="X218" i="17" s="1"/>
  <c r="Y218" i="17" s="1"/>
  <c r="Q218" i="17" s="1"/>
  <c r="W218" i="17" s="1"/>
  <c r="X219" i="17" a="1"/>
  <c r="X219" i="17" s="1"/>
  <c r="X220" i="17" a="1"/>
  <c r="X220" i="17" s="1"/>
  <c r="X221" i="17" a="1"/>
  <c r="X221" i="17" s="1"/>
  <c r="X276" i="17" a="1"/>
  <c r="X276" i="17" s="1"/>
  <c r="Y276" i="17" s="1"/>
  <c r="X277" i="17" a="1"/>
  <c r="X277" i="17" s="1"/>
  <c r="Y277" i="17" s="1"/>
  <c r="Q277" i="17" s="1"/>
  <c r="W277" i="17" s="1"/>
  <c r="X278" i="17" a="1"/>
  <c r="X278" i="17" s="1"/>
  <c r="Y278" i="17" s="1"/>
  <c r="Q278" i="17" s="1"/>
  <c r="W278" i="17" s="1"/>
  <c r="X279" i="17" a="1"/>
  <c r="X279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7" i="17" a="1"/>
  <c r="X7" i="17" s="1"/>
  <c r="X17" i="17" a="1"/>
  <c r="X17" i="17" s="1"/>
  <c r="Y17" i="17" s="1"/>
  <c r="X27" i="17" a="1"/>
  <c r="X27" i="17" s="1"/>
  <c r="Y27" i="17" s="1"/>
  <c r="Q27" i="17" s="1"/>
  <c r="W27" i="17" s="1"/>
  <c r="X37" i="17" a="1"/>
  <c r="X37" i="17" s="1"/>
  <c r="Y37" i="17" s="1"/>
  <c r="Q37" i="17" s="1"/>
  <c r="W37" i="17" s="1"/>
  <c r="X47" i="17" a="1"/>
  <c r="X47" i="17" s="1"/>
  <c r="X57" i="17" a="1"/>
  <c r="X57" i="17" s="1"/>
  <c r="Y57" i="17" s="1"/>
  <c r="Q57" i="17" s="1"/>
  <c r="W57" i="17" s="1"/>
  <c r="X67" i="17" a="1"/>
  <c r="X67" i="17" s="1"/>
  <c r="Y67" i="17" s="1"/>
  <c r="X102" i="17" a="1"/>
  <c r="X102" i="17" s="1"/>
  <c r="Y102" i="17" s="1"/>
  <c r="X103" i="17" a="1"/>
  <c r="X103" i="17" s="1"/>
  <c r="Y103" i="17" s="1"/>
  <c r="Q103" i="17" s="1"/>
  <c r="W103" i="17" s="1"/>
  <c r="X104" i="17" a="1"/>
  <c r="X104" i="17" s="1"/>
  <c r="X105" i="17" a="1"/>
  <c r="X105" i="17" s="1"/>
  <c r="X106" i="17" a="1"/>
  <c r="X106" i="17" s="1"/>
  <c r="Y106" i="17" s="1"/>
  <c r="X107" i="17" a="1"/>
  <c r="X107" i="17" s="1"/>
  <c r="Y107" i="17" s="1"/>
  <c r="Q107" i="17" s="1"/>
  <c r="W107" i="17" s="1"/>
  <c r="X162" i="17" a="1"/>
  <c r="X162" i="17" s="1"/>
  <c r="Y162" i="17" s="1"/>
  <c r="X163" i="17" a="1"/>
  <c r="X163" i="17" s="1"/>
  <c r="Y163" i="17" s="1"/>
  <c r="Q163" i="17" s="1"/>
  <c r="W163" i="17" s="1"/>
  <c r="X164" i="17" a="1"/>
  <c r="X164" i="17" s="1"/>
  <c r="X165" i="17" a="1"/>
  <c r="X165" i="17" s="1"/>
  <c r="X166" i="17" a="1"/>
  <c r="X166" i="17" s="1"/>
  <c r="X167" i="17" a="1"/>
  <c r="X167" i="17" s="1"/>
  <c r="Y167" i="17" s="1"/>
  <c r="Q167" i="17" s="1"/>
  <c r="W167" i="17" s="1"/>
  <c r="X222" i="17" a="1"/>
  <c r="X222" i="17" s="1"/>
  <c r="Y222" i="17" s="1"/>
  <c r="Q222" i="17" s="1"/>
  <c r="W222" i="17" s="1"/>
  <c r="X223" i="17" a="1"/>
  <c r="X223" i="17" s="1"/>
  <c r="X224" i="17" a="1"/>
  <c r="X224" i="17" s="1"/>
  <c r="X225" i="17" a="1"/>
  <c r="X225" i="17" s="1"/>
  <c r="Y225" i="17" s="1"/>
  <c r="Q225" i="17" s="1"/>
  <c r="W225" i="17" s="1"/>
  <c r="X226" i="17" a="1"/>
  <c r="X226" i="17" s="1"/>
  <c r="Y226" i="17" s="1"/>
  <c r="Q226" i="17" s="1"/>
  <c r="W226" i="17" s="1"/>
  <c r="X227" i="17" a="1"/>
  <c r="X227" i="17" s="1"/>
  <c r="Y227" i="17" s="1"/>
  <c r="Q227" i="17" s="1"/>
  <c r="W227" i="17" s="1"/>
  <c r="X282" i="17" a="1"/>
  <c r="X282" i="17" s="1"/>
  <c r="Y282" i="17" s="1"/>
  <c r="Q282" i="17" s="1"/>
  <c r="W282" i="17" s="1"/>
  <c r="X283" i="17" a="1"/>
  <c r="X283" i="17" s="1"/>
  <c r="X284" i="17" a="1"/>
  <c r="X284" i="17" s="1"/>
  <c r="Y284" i="17" s="1"/>
  <c r="Q284" i="17" s="1"/>
  <c r="W284" i="17" s="1"/>
  <c r="X285" i="17" a="1"/>
  <c r="X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8" i="17" a="1"/>
  <c r="X8" i="17" s="1"/>
  <c r="Y8" i="17" s="1"/>
  <c r="Q8" i="17" s="1"/>
  <c r="W8" i="17" s="1"/>
  <c r="X18" i="17" a="1"/>
  <c r="X18" i="17" s="1"/>
  <c r="Y18" i="17" s="1"/>
  <c r="Q18" i="17" s="1"/>
  <c r="W18" i="17" s="1"/>
  <c r="X28" i="17" a="1"/>
  <c r="X28" i="17" s="1"/>
  <c r="X38" i="17" a="1"/>
  <c r="X38" i="17" s="1"/>
  <c r="Y38" i="17" s="1"/>
  <c r="Q38" i="17" s="1"/>
  <c r="W38" i="17" s="1"/>
  <c r="X48" i="17" a="1"/>
  <c r="X48" i="17" s="1"/>
  <c r="Y48" i="17" s="1"/>
  <c r="Q48" i="17" s="1"/>
  <c r="W48" i="17" s="1"/>
  <c r="X58" i="17" a="1"/>
  <c r="X58" i="17" s="1"/>
  <c r="X68" i="17" a="1"/>
  <c r="X68" i="17" s="1"/>
  <c r="Y68" i="17" s="1"/>
  <c r="Q68" i="17" s="1"/>
  <c r="W68" i="17" s="1"/>
  <c r="X108" i="17" a="1"/>
  <c r="X108" i="17" s="1"/>
  <c r="X109" i="17" a="1"/>
  <c r="X109" i="17" s="1"/>
  <c r="Y109" i="17" s="1"/>
  <c r="Q109" i="17" s="1"/>
  <c r="W109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Y112" i="17" s="1"/>
  <c r="Q112" i="17" s="1"/>
  <c r="W112" i="17" s="1"/>
  <c r="X113" i="17" a="1"/>
  <c r="X113" i="17" s="1"/>
  <c r="Y113" i="17" s="1"/>
  <c r="Q113" i="17" s="1"/>
  <c r="W113" i="17" s="1"/>
  <c r="X168" i="17" a="1"/>
  <c r="X168" i="17" s="1"/>
  <c r="Y168" i="17" s="1"/>
  <c r="Q168" i="17" s="1"/>
  <c r="W168" i="17" s="1"/>
  <c r="X169" i="17" a="1"/>
  <c r="X169" i="17" s="1"/>
  <c r="X170" i="17" a="1"/>
  <c r="X170" i="17" s="1"/>
  <c r="Y170" i="17" s="1"/>
  <c r="Q170" i="17" s="1"/>
  <c r="W170" i="17" s="1"/>
  <c r="X171" i="17" a="1"/>
  <c r="X171" i="17" s="1"/>
  <c r="Y171" i="17" s="1"/>
  <c r="X172" i="17" a="1"/>
  <c r="X172" i="17" s="1"/>
  <c r="Y172" i="17" s="1"/>
  <c r="Q172" i="17" s="1"/>
  <c r="W172" i="17" s="1"/>
  <c r="X173" i="17" a="1"/>
  <c r="X173" i="17" s="1"/>
  <c r="Y173" i="17" s="1"/>
  <c r="X228" i="17" a="1"/>
  <c r="X228" i="17" s="1"/>
  <c r="Y228" i="17" s="1"/>
  <c r="Q228" i="17" s="1"/>
  <c r="W228" i="17" s="1"/>
  <c r="X229" i="17" a="1"/>
  <c r="X229" i="17" s="1"/>
  <c r="Y229" i="17" s="1"/>
  <c r="Q229" i="17" s="1"/>
  <c r="W229" i="17" s="1"/>
  <c r="X230" i="17" a="1"/>
  <c r="X230" i="17" s="1"/>
  <c r="X231" i="17" a="1"/>
  <c r="X231" i="17" s="1"/>
  <c r="Y231" i="17" s="1"/>
  <c r="Q231" i="17" s="1"/>
  <c r="W231" i="17" s="1"/>
  <c r="X232" i="17" a="1"/>
  <c r="X232" i="17" s="1"/>
  <c r="Y232" i="17" s="1"/>
  <c r="Q232" i="17" s="1"/>
  <c r="W232" i="17" s="1"/>
  <c r="X233" i="17" a="1"/>
  <c r="X233" i="17" s="1"/>
  <c r="Y233" i="17" s="1"/>
  <c r="Q233" i="17" s="1"/>
  <c r="W233" i="17" s="1"/>
  <c r="X288" i="17" a="1"/>
  <c r="X288" i="17" s="1"/>
  <c r="Y288" i="17" s="1"/>
  <c r="Q288" i="17" s="1"/>
  <c r="W288" i="17" s="1"/>
  <c r="X289" i="17" a="1"/>
  <c r="X289" i="17" s="1"/>
  <c r="Y289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X293" i="17" a="1"/>
  <c r="X293" i="17" s="1"/>
  <c r="Y293" i="17" s="1"/>
  <c r="X9" i="17" a="1"/>
  <c r="X9" i="17" s="1"/>
  <c r="Y9" i="17" s="1"/>
  <c r="Q9" i="17" s="1"/>
  <c r="W9" i="17" s="1"/>
  <c r="X19" i="17" a="1"/>
  <c r="X19" i="17" s="1"/>
  <c r="Y19" i="17" s="1"/>
  <c r="Q19" i="17" s="1"/>
  <c r="W19" i="17" s="1"/>
  <c r="X29" i="17" a="1"/>
  <c r="X29" i="17" s="1"/>
  <c r="X39" i="17" a="1"/>
  <c r="X39" i="17" s="1"/>
  <c r="Y39" i="17" s="1"/>
  <c r="X49" i="17" a="1"/>
  <c r="X49" i="17" s="1"/>
  <c r="Y49" i="17" s="1"/>
  <c r="X59" i="17" a="1"/>
  <c r="X59" i="17" s="1"/>
  <c r="Y59" i="17" s="1"/>
  <c r="Q59" i="17" s="1"/>
  <c r="W59" i="17" s="1"/>
  <c r="X69" i="17" a="1"/>
  <c r="X69" i="17" s="1"/>
  <c r="Y69" i="17" s="1"/>
  <c r="Q69" i="17" s="1"/>
  <c r="W69" i="17" s="1"/>
  <c r="X114" i="17" a="1"/>
  <c r="X114" i="17" s="1"/>
  <c r="X115" i="17" a="1"/>
  <c r="X115" i="17" s="1"/>
  <c r="Y115" i="17" s="1"/>
  <c r="Q115" i="17" s="1"/>
  <c r="W115" i="17" s="1"/>
  <c r="X116" i="17" a="1"/>
  <c r="X116" i="17" s="1"/>
  <c r="Y116" i="17" s="1"/>
  <c r="Q116" i="17" s="1"/>
  <c r="W116" i="17" s="1"/>
  <c r="X117" i="17" a="1"/>
  <c r="X117" i="17" s="1"/>
  <c r="Y117" i="17" s="1"/>
  <c r="Q117" i="17" s="1"/>
  <c r="W117" i="17" s="1"/>
  <c r="X118" i="17" a="1"/>
  <c r="X118" i="17" s="1"/>
  <c r="Y118" i="17" s="1"/>
  <c r="X119" i="17" a="1"/>
  <c r="X119" i="17" s="1"/>
  <c r="Y119" i="17" s="1"/>
  <c r="Q119" i="17" s="1"/>
  <c r="W119" i="17" s="1"/>
  <c r="X174" i="17" a="1"/>
  <c r="X174" i="17" s="1"/>
  <c r="Y174" i="17" s="1"/>
  <c r="X175" i="17" a="1"/>
  <c r="X175" i="17" s="1"/>
  <c r="X176" i="17" a="1"/>
  <c r="X176" i="17" s="1"/>
  <c r="Y176" i="17" s="1"/>
  <c r="Q176" i="17" s="1"/>
  <c r="W176" i="17" s="1"/>
  <c r="X177" i="17" a="1"/>
  <c r="X177" i="17" s="1"/>
  <c r="Y177" i="17" s="1"/>
  <c r="X178" i="17" a="1"/>
  <c r="X178" i="17" s="1"/>
  <c r="Y178" i="17" s="1"/>
  <c r="X179" i="17" a="1"/>
  <c r="X179" i="17" s="1"/>
  <c r="Y179" i="17" s="1"/>
  <c r="Q179" i="17" s="1"/>
  <c r="W179" i="17" s="1"/>
  <c r="X234" i="17" a="1"/>
  <c r="X234" i="17" s="1"/>
  <c r="Y234" i="17" s="1"/>
  <c r="X235" i="17" a="1"/>
  <c r="X235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94" i="17" a="1"/>
  <c r="X294" i="17" s="1"/>
  <c r="X295" i="17" a="1"/>
  <c r="X295" i="17" s="1"/>
  <c r="X296" i="17" a="1"/>
  <c r="X296" i="17" s="1"/>
  <c r="Y296" i="17" s="1"/>
  <c r="Q296" i="17" s="1"/>
  <c r="W296" i="17" s="1"/>
  <c r="X297" i="17" a="1"/>
  <c r="X297" i="17" s="1"/>
  <c r="Y297" i="17" s="1"/>
  <c r="X298" i="17" a="1"/>
  <c r="X298" i="17" s="1"/>
  <c r="Y298" i="17" s="1"/>
  <c r="X299" i="17" a="1"/>
  <c r="X299" i="17" s="1"/>
  <c r="X10" i="17" a="1"/>
  <c r="X10" i="17" s="1"/>
  <c r="X20" i="17" a="1"/>
  <c r="X20" i="17" s="1"/>
  <c r="Y20" i="17" s="1"/>
  <c r="Q20" i="17" s="1"/>
  <c r="W20" i="17" s="1"/>
  <c r="X30" i="17" a="1"/>
  <c r="X30" i="17" s="1"/>
  <c r="Y30" i="17" s="1"/>
  <c r="X40" i="17" a="1"/>
  <c r="X40" i="17" s="1"/>
  <c r="Y40" i="17" s="1"/>
  <c r="X50" i="17" a="1"/>
  <c r="X50" i="17" s="1"/>
  <c r="Y50" i="17" s="1"/>
  <c r="Q50" i="17" s="1"/>
  <c r="W50" i="17" s="1"/>
  <c r="X60" i="17" a="1"/>
  <c r="X60" i="17" s="1"/>
  <c r="Y60" i="17" s="1"/>
  <c r="Q60" i="17" s="1"/>
  <c r="W60" i="17" s="1"/>
  <c r="X70" i="17" a="1"/>
  <c r="X70" i="17" s="1"/>
  <c r="Y70" i="17" s="1"/>
  <c r="Q70" i="17" s="1"/>
  <c r="W70" i="17" s="1"/>
  <c r="X120" i="17" a="1"/>
  <c r="X120" i="17" s="1"/>
  <c r="X121" i="17" a="1"/>
  <c r="X121" i="17" s="1"/>
  <c r="Y121" i="17" s="1"/>
  <c r="X122" i="17" a="1"/>
  <c r="X122" i="17" s="1"/>
  <c r="Y122" i="17" s="1"/>
  <c r="Q122" i="17" s="1"/>
  <c r="W122" i="17" s="1"/>
  <c r="X123" i="17" a="1"/>
  <c r="X123" i="17" s="1"/>
  <c r="Y123" i="17" s="1"/>
  <c r="X124" i="17" a="1"/>
  <c r="X124" i="17" s="1"/>
  <c r="Y124" i="17" s="1"/>
  <c r="Q124" i="17" s="1"/>
  <c r="W124" i="17" s="1"/>
  <c r="X125" i="17" a="1"/>
  <c r="X125" i="17" s="1"/>
  <c r="Y125" i="17" s="1"/>
  <c r="X180" i="17" a="1"/>
  <c r="X180" i="17" s="1"/>
  <c r="Y180" i="17" s="1"/>
  <c r="Q180" i="17" s="1"/>
  <c r="W180" i="17" s="1"/>
  <c r="X181" i="17" a="1"/>
  <c r="X181" i="17" s="1"/>
  <c r="X182" i="17" a="1"/>
  <c r="X182" i="17" s="1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Y184" i="17" s="1"/>
  <c r="Q184" i="17" s="1"/>
  <c r="W184" i="17" s="1"/>
  <c r="X185" i="17" a="1"/>
  <c r="X185" i="17" s="1"/>
  <c r="X240" i="17" a="1"/>
  <c r="X240" i="17" s="1"/>
  <c r="X241" i="17" a="1"/>
  <c r="X241" i="17" s="1"/>
  <c r="Y241" i="17" s="1"/>
  <c r="X242" i="17" a="1"/>
  <c r="X242" i="17" s="1"/>
  <c r="Y242" i="17" s="1"/>
  <c r="Q242" i="17" s="1"/>
  <c r="W242" i="17" s="1"/>
  <c r="X243" i="17" a="1"/>
  <c r="X243" i="17" s="1"/>
  <c r="Y243" i="17" s="1"/>
  <c r="Q243" i="17" s="1"/>
  <c r="W243" i="17" s="1"/>
  <c r="X244" i="17" a="1"/>
  <c r="X244" i="17" s="1"/>
  <c r="Y244" i="17" s="1"/>
  <c r="Q244" i="17" s="1"/>
  <c r="W244" i="17" s="1"/>
  <c r="X245" i="17" a="1"/>
  <c r="X245" i="17" s="1"/>
  <c r="X300" i="17" a="1"/>
  <c r="X300" i="17" s="1"/>
  <c r="Y300" i="17" s="1"/>
  <c r="X301" i="17" a="1"/>
  <c r="X301" i="17" s="1"/>
  <c r="X302" i="17" a="1"/>
  <c r="X302" i="17" s="1"/>
  <c r="Y302" i="17" s="1"/>
  <c r="X303" i="17" a="1"/>
  <c r="X303" i="17" s="1"/>
  <c r="Y303" i="17" s="1"/>
  <c r="Q303" i="17" s="1"/>
  <c r="W303" i="17" s="1"/>
  <c r="X304" i="17" a="1"/>
  <c r="X304" i="17" s="1"/>
  <c r="Y304" i="17" s="1"/>
  <c r="Q304" i="17" s="1"/>
  <c r="W304" i="17" s="1"/>
  <c r="X305" i="17" a="1"/>
  <c r="X305" i="17" s="1"/>
  <c r="Y305" i="17" s="1"/>
  <c r="Q305" i="17" s="1"/>
  <c r="W305" i="17" s="1"/>
  <c r="X11" i="17" a="1"/>
  <c r="X11" i="17" s="1"/>
  <c r="Y11" i="17" s="1"/>
  <c r="Q11" i="17" s="1"/>
  <c r="W11" i="17" s="1"/>
  <c r="X21" i="17" a="1"/>
  <c r="X21" i="17" s="1"/>
  <c r="Y21" i="17" s="1"/>
  <c r="Q21" i="17" s="1"/>
  <c r="W21" i="17" s="1"/>
  <c r="X31" i="17" a="1"/>
  <c r="X31" i="17" s="1"/>
  <c r="Y31" i="17" s="1"/>
  <c r="Q31" i="17" s="1"/>
  <c r="W31" i="17" s="1"/>
  <c r="X41" i="17" a="1"/>
  <c r="X41" i="17" s="1"/>
  <c r="Y41" i="17" s="1"/>
  <c r="Q41" i="17" s="1"/>
  <c r="W41" i="17" s="1"/>
  <c r="X51" i="17" a="1"/>
  <c r="X51" i="17" s="1"/>
  <c r="X61" i="17" a="1"/>
  <c r="X61" i="17" s="1"/>
  <c r="Y61" i="17" s="1"/>
  <c r="Q61" i="17" s="1"/>
  <c r="W61" i="17" s="1"/>
  <c r="X71" i="17" a="1"/>
  <c r="X71" i="17" s="1"/>
  <c r="Y71" i="17" s="1"/>
  <c r="Q71" i="17" s="1"/>
  <c r="W71" i="17" s="1"/>
  <c r="X126" i="17" a="1"/>
  <c r="X126" i="17" s="1"/>
  <c r="Y126" i="17" s="1"/>
  <c r="Q126" i="17" s="1"/>
  <c r="W126" i="17" s="1"/>
  <c r="X127" i="17" a="1"/>
  <c r="X127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Y130" i="17" s="1"/>
  <c r="X131" i="17" a="1"/>
  <c r="X131" i="17" s="1"/>
  <c r="Y131" i="17" s="1"/>
  <c r="Q131" i="17" s="1"/>
  <c r="W131" i="17" s="1"/>
  <c r="X186" i="17" a="1"/>
  <c r="X186" i="17" s="1"/>
  <c r="Y186" i="17" s="1"/>
  <c r="Q186" i="17" s="1"/>
  <c r="W186" i="17" s="1"/>
  <c r="X187" i="17" a="1"/>
  <c r="X187" i="17" s="1"/>
  <c r="Y187" i="17" s="1"/>
  <c r="X188" i="17" a="1"/>
  <c r="X188" i="17" s="1"/>
  <c r="Y188" i="17" s="1"/>
  <c r="Q188" i="17" s="1"/>
  <c r="W188" i="17" s="1"/>
  <c r="X189" i="17" a="1"/>
  <c r="X189" i="17" s="1"/>
  <c r="Y189" i="17" s="1"/>
  <c r="Q189" i="17" s="1"/>
  <c r="W189" i="17" s="1"/>
  <c r="X190" i="17" a="1"/>
  <c r="X190" i="17" s="1"/>
  <c r="X191" i="17" a="1"/>
  <c r="X191" i="17" s="1"/>
  <c r="Y191" i="17" s="1"/>
  <c r="Q191" i="17" s="1"/>
  <c r="W191" i="17" s="1"/>
  <c r="X246" i="17" a="1"/>
  <c r="X246" i="17" s="1"/>
  <c r="Y246" i="17" s="1"/>
  <c r="X247" i="17" a="1"/>
  <c r="X247" i="17" s="1"/>
  <c r="Y247" i="17" s="1"/>
  <c r="Q247" i="17" s="1"/>
  <c r="W247" i="17" s="1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250" i="17" a="1"/>
  <c r="X250" i="17" s="1"/>
  <c r="Y250" i="17" s="1"/>
  <c r="Q250" i="17" s="1"/>
  <c r="W250" i="17" s="1"/>
  <c r="X251" i="17" a="1"/>
  <c r="X251" i="17" s="1"/>
  <c r="X306" i="17" a="1"/>
  <c r="X306" i="17" s="1"/>
  <c r="Y306" i="17" s="1"/>
  <c r="X307" i="17" a="1"/>
  <c r="X307" i="17" s="1"/>
  <c r="Y307" i="17" s="1"/>
  <c r="Q307" i="17" s="1"/>
  <c r="W307" i="17" s="1"/>
  <c r="X308" i="17" a="1"/>
  <c r="X308" i="17" s="1"/>
  <c r="Y308" i="17" s="1"/>
  <c r="X309" i="17" a="1"/>
  <c r="X309" i="17" s="1"/>
  <c r="X310" i="17" a="1"/>
  <c r="X310" i="17" s="1"/>
  <c r="Y310" i="17" s="1"/>
  <c r="Q310" i="17" s="1"/>
  <c r="W310" i="17" s="1"/>
  <c r="X311" i="17" a="1"/>
  <c r="X311" i="17" s="1"/>
  <c r="Y311" i="17" s="1"/>
  <c r="Y2" i="17"/>
  <c r="Q2" i="17" s="1"/>
  <c r="W2" i="17" s="1"/>
  <c r="Y22" i="17"/>
  <c r="Q22" i="17" s="1"/>
  <c r="W22" i="17" s="1"/>
  <c r="Y32" i="17"/>
  <c r="Q32" i="17" s="1"/>
  <c r="W32" i="17" s="1"/>
  <c r="Y133" i="17"/>
  <c r="Q133" i="17" s="1"/>
  <c r="W133" i="17" s="1"/>
  <c r="Y134" i="17"/>
  <c r="Q134" i="17" s="1"/>
  <c r="W134" i="17" s="1"/>
  <c r="Y193" i="17"/>
  <c r="Q193" i="17" s="1"/>
  <c r="W193" i="17" s="1"/>
  <c r="Y253" i="17"/>
  <c r="Q253" i="17" s="1"/>
  <c r="W253" i="17" s="1"/>
  <c r="Y254" i="17"/>
  <c r="Q254" i="17" s="1"/>
  <c r="W254" i="17" s="1"/>
  <c r="Y13" i="17"/>
  <c r="Q13" i="17" s="1"/>
  <c r="W13" i="17" s="1"/>
  <c r="Y78" i="17"/>
  <c r="Q78" i="17" s="1"/>
  <c r="W78" i="17" s="1"/>
  <c r="Y79" i="17"/>
  <c r="Q79" i="17" s="1"/>
  <c r="W79" i="17" s="1"/>
  <c r="Y80" i="17"/>
  <c r="Q80" i="17" s="1"/>
  <c r="W80" i="17" s="1"/>
  <c r="Y138" i="17"/>
  <c r="Q138" i="17" s="1"/>
  <c r="W138" i="17" s="1"/>
  <c r="Y198" i="17"/>
  <c r="Q198" i="17" s="1"/>
  <c r="W198" i="17" s="1"/>
  <c r="Y258" i="17"/>
  <c r="Y14" i="17"/>
  <c r="Q14" i="17" s="1"/>
  <c r="W14" i="17" s="1"/>
  <c r="Y54" i="17"/>
  <c r="Q54" i="17" s="1"/>
  <c r="W54" i="17" s="1"/>
  <c r="Y89" i="17"/>
  <c r="Q89" i="17" s="1"/>
  <c r="W89" i="17" s="1"/>
  <c r="Y144" i="17"/>
  <c r="Q144" i="17" s="1"/>
  <c r="W144" i="17" s="1"/>
  <c r="Y264" i="17"/>
  <c r="Q264" i="17" s="1"/>
  <c r="W264" i="17" s="1"/>
  <c r="Y15" i="17"/>
  <c r="Q15" i="17" s="1"/>
  <c r="W15" i="17" s="1"/>
  <c r="Y55" i="17"/>
  <c r="Y65" i="17"/>
  <c r="Q65" i="17" s="1"/>
  <c r="W65" i="17" s="1"/>
  <c r="Y94" i="17"/>
  <c r="Q94" i="17" s="1"/>
  <c r="W94" i="17" s="1"/>
  <c r="Y155" i="17"/>
  <c r="Q155" i="17" s="1"/>
  <c r="W155" i="17" s="1"/>
  <c r="Y274" i="17"/>
  <c r="Q274" i="17" s="1"/>
  <c r="W274" i="17" s="1"/>
  <c r="Y275" i="17"/>
  <c r="Q275" i="17" s="1"/>
  <c r="W275" i="17" s="1"/>
  <c r="Y46" i="17"/>
  <c r="Q46" i="17" s="1"/>
  <c r="W46" i="17" s="1"/>
  <c r="Y100" i="17"/>
  <c r="Q100" i="17" s="1"/>
  <c r="W100" i="17" s="1"/>
  <c r="Y219" i="17"/>
  <c r="Q219" i="17" s="1"/>
  <c r="W219" i="17" s="1"/>
  <c r="Y220" i="17"/>
  <c r="Q220" i="17" s="1"/>
  <c r="W220" i="17" s="1"/>
  <c r="Y279" i="17"/>
  <c r="Q279" i="17" s="1"/>
  <c r="W279" i="17" s="1"/>
  <c r="Y47" i="17"/>
  <c r="Q47" i="17" s="1"/>
  <c r="W47" i="17" s="1"/>
  <c r="Y164" i="17"/>
  <c r="Q164" i="17" s="1"/>
  <c r="W164" i="17" s="1"/>
  <c r="Y165" i="17"/>
  <c r="Y166" i="17"/>
  <c r="Q166" i="17" s="1"/>
  <c r="W166" i="17" s="1"/>
  <c r="Y224" i="17"/>
  <c r="Q224" i="17" s="1"/>
  <c r="W224" i="17" s="1"/>
  <c r="Y110" i="17"/>
  <c r="Q110" i="17" s="1"/>
  <c r="W110" i="17" s="1"/>
  <c r="Y169" i="17"/>
  <c r="Y230" i="17"/>
  <c r="Q230" i="17" s="1"/>
  <c r="W230" i="17" s="1"/>
  <c r="Y29" i="17"/>
  <c r="Q29" i="17" s="1"/>
  <c r="W29" i="17" s="1"/>
  <c r="Y114" i="17"/>
  <c r="Y175" i="17"/>
  <c r="Q175" i="17" s="1"/>
  <c r="W175" i="17" s="1"/>
  <c r="Y295" i="17"/>
  <c r="Q295" i="17" s="1"/>
  <c r="W295" i="17" s="1"/>
  <c r="Y10" i="17"/>
  <c r="Q10" i="17" s="1"/>
  <c r="W10" i="17" s="1"/>
  <c r="Y120" i="17"/>
  <c r="Y240" i="17"/>
  <c r="Q240" i="17" s="1"/>
  <c r="W240" i="17" s="1"/>
  <c r="Y245" i="17"/>
  <c r="Y251" i="17"/>
  <c r="Q251" i="17" s="1"/>
  <c r="W251" i="17" s="1"/>
  <c r="G2" i="16"/>
  <c r="N72" i="20" l="1"/>
  <c r="N5" i="20"/>
  <c r="N161" i="20"/>
  <c r="N143" i="20"/>
  <c r="N14" i="20"/>
  <c r="N168" i="20"/>
  <c r="N133" i="20"/>
  <c r="N97" i="20"/>
  <c r="N50" i="20"/>
  <c r="N167" i="20"/>
  <c r="N90" i="20"/>
  <c r="N157" i="20"/>
  <c r="N149" i="20"/>
  <c r="N95" i="20"/>
  <c r="N29" i="20"/>
  <c r="N156" i="20"/>
  <c r="N48" i="20"/>
  <c r="N102" i="20"/>
  <c r="N116" i="20"/>
  <c r="N154" i="20"/>
  <c r="N128" i="20"/>
  <c r="N119" i="20"/>
  <c r="N101" i="20"/>
  <c r="N83" i="20"/>
  <c r="N37" i="20"/>
  <c r="N8" i="20"/>
  <c r="N104" i="20"/>
  <c r="N77" i="20"/>
  <c r="N109" i="20"/>
  <c r="N36" i="20"/>
  <c r="N66" i="20"/>
  <c r="N73" i="20"/>
  <c r="N44" i="20"/>
  <c r="N43" i="20"/>
  <c r="N41" i="20"/>
  <c r="N139" i="20"/>
  <c r="N166" i="20"/>
  <c r="N148" i="20"/>
  <c r="R66" i="18"/>
  <c r="U66" i="18" s="1"/>
  <c r="R166" i="18"/>
  <c r="U166" i="18" s="1"/>
  <c r="R159" i="18"/>
  <c r="U159" i="18" s="1"/>
  <c r="O5" i="18" a="1"/>
  <c r="O5" i="18" s="1"/>
  <c r="O18" i="18" a="1"/>
  <c r="O18" i="18" s="1"/>
  <c r="R131" i="18"/>
  <c r="U131" i="18" s="1"/>
  <c r="O17" i="18" a="1"/>
  <c r="O17" i="18" s="1"/>
  <c r="O16" i="18" a="1"/>
  <c r="O16" i="18" s="1"/>
  <c r="O15" i="18" a="1"/>
  <c r="O15" i="18" s="1"/>
  <c r="R36" i="18"/>
  <c r="U36" i="18" s="1"/>
  <c r="O14" i="18" a="1"/>
  <c r="O14" i="18" s="1"/>
  <c r="O13" i="18" a="1"/>
  <c r="O13" i="18" s="1"/>
  <c r="R170" i="18"/>
  <c r="U170" i="18" s="1"/>
  <c r="R60" i="18"/>
  <c r="U60" i="18" s="1"/>
  <c r="O12" i="18" a="1"/>
  <c r="O12" i="18" s="1"/>
  <c r="R169" i="18"/>
  <c r="U169" i="18" s="1"/>
  <c r="O24" i="18" a="1"/>
  <c r="O24" i="18" s="1"/>
  <c r="R168" i="18"/>
  <c r="U168" i="18" s="1"/>
  <c r="O23" i="18" a="1"/>
  <c r="O23" i="18" s="1"/>
  <c r="O22" i="18" a="1"/>
  <c r="O22" i="18" s="1"/>
  <c r="R167" i="18"/>
  <c r="U167" i="18" s="1"/>
  <c r="R108" i="18"/>
  <c r="U108" i="18" s="1"/>
  <c r="R6" i="18"/>
  <c r="U6" i="18" s="1"/>
  <c r="O4" i="18" a="1"/>
  <c r="O4" i="18" s="1"/>
  <c r="O3" i="18" a="1"/>
  <c r="O3" i="18" s="1"/>
  <c r="O2" i="18" a="1"/>
  <c r="O2" i="18" s="1"/>
  <c r="O11" i="18" a="1"/>
  <c r="O11" i="18" s="1"/>
  <c r="O21" i="18" a="1"/>
  <c r="O21" i="18" s="1"/>
  <c r="O10" i="18" a="1"/>
  <c r="O10" i="18" s="1"/>
  <c r="O9" i="18" a="1"/>
  <c r="O9" i="18" s="1"/>
  <c r="O8" i="18" a="1"/>
  <c r="O8" i="18" s="1"/>
  <c r="O7" i="18" a="1"/>
  <c r="O7" i="18" s="1"/>
  <c r="O6" i="18" a="1"/>
  <c r="O6" i="18" s="1"/>
  <c r="Y12" i="17"/>
  <c r="Q12" i="17" s="1"/>
  <c r="W12" i="17" s="1"/>
  <c r="N258" i="17" a="1"/>
  <c r="N258" i="17" s="1"/>
  <c r="Q55" i="17"/>
  <c r="W55" i="17" s="1"/>
  <c r="Q173" i="17"/>
  <c r="W173" i="17" s="1"/>
  <c r="Y127" i="17"/>
  <c r="Q127" i="17" s="1"/>
  <c r="W127" i="17" s="1"/>
  <c r="Q302" i="17"/>
  <c r="W302" i="17" s="1"/>
  <c r="Q40" i="17"/>
  <c r="W40" i="17" s="1"/>
  <c r="Y292" i="17"/>
  <c r="Q292" i="17" s="1"/>
  <c r="W292" i="17" s="1"/>
  <c r="Y58" i="17"/>
  <c r="Y7" i="17"/>
  <c r="Q7" i="17" s="1"/>
  <c r="W7" i="17" s="1"/>
  <c r="Y43" i="17"/>
  <c r="Q43" i="17" s="1"/>
  <c r="W43" i="17" s="1"/>
  <c r="N52" i="17" a="1"/>
  <c r="N52" i="17" s="1"/>
  <c r="N195" i="17" a="1"/>
  <c r="N195" i="17" s="1"/>
  <c r="Q246" i="17"/>
  <c r="W246" i="17" s="1"/>
  <c r="Y301" i="17"/>
  <c r="Q301" i="17" s="1"/>
  <c r="W301" i="17" s="1"/>
  <c r="Y181" i="17"/>
  <c r="Q181" i="17" s="1"/>
  <c r="W181" i="17" s="1"/>
  <c r="Q30" i="17"/>
  <c r="W30" i="17" s="1"/>
  <c r="Q171" i="17"/>
  <c r="W171" i="17" s="1"/>
  <c r="Y85" i="17"/>
  <c r="Q85" i="17" s="1"/>
  <c r="W85" i="17" s="1"/>
  <c r="N202" i="17" a="1"/>
  <c r="N202" i="17" s="1"/>
  <c r="N81" i="17" a="1"/>
  <c r="N81" i="17" s="1"/>
  <c r="Q162" i="17"/>
  <c r="W162" i="17" s="1"/>
  <c r="Q169" i="17"/>
  <c r="W169" i="17" s="1"/>
  <c r="Y235" i="17"/>
  <c r="Q235" i="17" s="1"/>
  <c r="W235" i="17" s="1"/>
  <c r="Y105" i="17"/>
  <c r="Q105" i="17" s="1"/>
  <c r="W105" i="17" s="1"/>
  <c r="Y56" i="17"/>
  <c r="Q56" i="17" s="1"/>
  <c r="W56" i="17" s="1"/>
  <c r="Q259" i="17"/>
  <c r="W259" i="17" s="1"/>
  <c r="Y23" i="17"/>
  <c r="Q23" i="17" s="1"/>
  <c r="W23" i="17" s="1"/>
  <c r="N201" i="17" a="1"/>
  <c r="N201" i="17" s="1"/>
  <c r="N80" i="17" a="1"/>
  <c r="N80" i="17" s="1"/>
  <c r="Q114" i="17"/>
  <c r="W114" i="17" s="1"/>
  <c r="Q311" i="17"/>
  <c r="W311" i="17" s="1"/>
  <c r="Q300" i="17"/>
  <c r="W300" i="17" s="1"/>
  <c r="Q125" i="17"/>
  <c r="W125" i="17" s="1"/>
  <c r="Q289" i="17"/>
  <c r="W289" i="17" s="1"/>
  <c r="Y28" i="17"/>
  <c r="Q28" i="17" s="1"/>
  <c r="W28" i="17" s="1"/>
  <c r="Y104" i="17"/>
  <c r="Q104" i="17" s="1"/>
  <c r="W104" i="17" s="1"/>
  <c r="Y269" i="17"/>
  <c r="Q269" i="17" s="1"/>
  <c r="W269" i="17" s="1"/>
  <c r="N200" i="17" a="1"/>
  <c r="N200" i="17" s="1"/>
  <c r="N78" i="17" a="1"/>
  <c r="N78" i="17" s="1"/>
  <c r="Q77" i="17"/>
  <c r="W77" i="17" s="1"/>
  <c r="Q245" i="17"/>
  <c r="W245" i="17" s="1"/>
  <c r="Y309" i="17"/>
  <c r="Q309" i="17" s="1"/>
  <c r="W309" i="17" s="1"/>
  <c r="Y51" i="17"/>
  <c r="Q51" i="17" s="1"/>
  <c r="W51" i="17" s="1"/>
  <c r="Y299" i="17"/>
  <c r="Q299" i="17" s="1"/>
  <c r="W299" i="17" s="1"/>
  <c r="Y93" i="17"/>
  <c r="Q3" i="17"/>
  <c r="W3" i="17" s="1"/>
  <c r="N198" i="17" a="1"/>
  <c r="N198" i="17" s="1"/>
  <c r="N63" i="17" a="1"/>
  <c r="N63" i="17" s="1"/>
  <c r="Q267" i="17"/>
  <c r="W267" i="17" s="1"/>
  <c r="Q202" i="17"/>
  <c r="W202" i="17" s="1"/>
  <c r="Q257" i="17"/>
  <c r="W257" i="17" s="1"/>
  <c r="N4" i="17" a="1"/>
  <c r="N4" i="17" s="1"/>
  <c r="N53" i="17" a="1"/>
  <c r="N53" i="17" s="1"/>
  <c r="Q118" i="17"/>
  <c r="W118" i="17" s="1"/>
  <c r="Q298" i="17"/>
  <c r="W298" i="17" s="1"/>
  <c r="Q187" i="17"/>
  <c r="W187" i="17" s="1"/>
  <c r="Q177" i="17"/>
  <c r="W177" i="17" s="1"/>
  <c r="Q49" i="17"/>
  <c r="W49" i="17" s="1"/>
  <c r="Y91" i="17"/>
  <c r="N143" i="17" a="1"/>
  <c r="N143" i="17" s="1"/>
  <c r="N43" i="17" a="1"/>
  <c r="N43" i="17" s="1"/>
  <c r="Q241" i="17"/>
  <c r="W241" i="17" s="1"/>
  <c r="Q121" i="17"/>
  <c r="W121" i="17" s="1"/>
  <c r="Q39" i="17"/>
  <c r="W39" i="17" s="1"/>
  <c r="Y221" i="17"/>
  <c r="Q221" i="17" s="1"/>
  <c r="W221" i="17" s="1"/>
  <c r="Q255" i="17"/>
  <c r="W255" i="17" s="1"/>
  <c r="N262" i="17" a="1"/>
  <c r="N262" i="17" s="1"/>
  <c r="N142" i="17" a="1"/>
  <c r="N142" i="17" s="1"/>
  <c r="Q178" i="17"/>
  <c r="W178" i="17" s="1"/>
  <c r="Q120" i="17"/>
  <c r="W120" i="17" s="1"/>
  <c r="Q165" i="17"/>
  <c r="W165" i="17" s="1"/>
  <c r="N141" i="17" a="1"/>
  <c r="N141" i="17" s="1"/>
  <c r="N32" i="17" a="1"/>
  <c r="N32" i="17" s="1"/>
  <c r="Q142" i="17"/>
  <c r="W142" i="17" s="1"/>
  <c r="Q308" i="17"/>
  <c r="W308" i="17" s="1"/>
  <c r="Q123" i="17"/>
  <c r="W123" i="17" s="1"/>
  <c r="Q306" i="17"/>
  <c r="W306" i="17" s="1"/>
  <c r="Q258" i="17"/>
  <c r="W258" i="17" s="1"/>
  <c r="Q130" i="17"/>
  <c r="W130" i="17" s="1"/>
  <c r="Y185" i="17"/>
  <c r="Q185" i="17" s="1"/>
  <c r="W185" i="17" s="1"/>
  <c r="Y294" i="17"/>
  <c r="Q294" i="17" s="1"/>
  <c r="W294" i="17" s="1"/>
  <c r="Q174" i="17"/>
  <c r="W174" i="17" s="1"/>
  <c r="N204" i="17" a="1"/>
  <c r="N204" i="17" s="1"/>
  <c r="N84" i="17" a="1"/>
  <c r="N84" i="17" s="1"/>
  <c r="Y108" i="17"/>
  <c r="Q108" i="17" s="1"/>
  <c r="W108" i="17" s="1"/>
  <c r="Y283" i="17"/>
  <c r="Q283" i="17" s="1"/>
  <c r="W283" i="17" s="1"/>
  <c r="Q45" i="17"/>
  <c r="W45" i="17" s="1"/>
  <c r="Y208" i="17"/>
  <c r="Q88" i="17"/>
  <c r="W88" i="17" s="1"/>
  <c r="Q263" i="17"/>
  <c r="W263" i="17" s="1"/>
  <c r="Y63" i="17"/>
  <c r="N139" i="17" a="1"/>
  <c r="N139" i="17" s="1"/>
  <c r="Q293" i="17"/>
  <c r="W293" i="17" s="1"/>
  <c r="Q234" i="17"/>
  <c r="W234" i="17" s="1"/>
  <c r="Y223" i="17"/>
  <c r="Q223" i="17" s="1"/>
  <c r="W223" i="17" s="1"/>
  <c r="Q102" i="17"/>
  <c r="W102" i="17" s="1"/>
  <c r="Q297" i="17"/>
  <c r="W297" i="17" s="1"/>
  <c r="Q154" i="17"/>
  <c r="W154" i="17" s="1"/>
  <c r="Q17" i="17"/>
  <c r="W17" i="17" s="1"/>
  <c r="Q217" i="17"/>
  <c r="W217" i="17" s="1"/>
  <c r="Q97" i="17"/>
  <c r="W97" i="17" s="1"/>
  <c r="Q152" i="17"/>
  <c r="W152" i="17" s="1"/>
  <c r="Q207" i="17"/>
  <c r="W207" i="17" s="1"/>
  <c r="Q87" i="17"/>
  <c r="W87" i="17" s="1"/>
  <c r="N253" i="17" a="1"/>
  <c r="N253" i="17" s="1"/>
  <c r="N135" i="17" a="1"/>
  <c r="N135" i="17" s="1"/>
  <c r="N42" i="17" a="1"/>
  <c r="N42" i="17" s="1"/>
  <c r="Q58" i="17"/>
  <c r="W58" i="17" s="1"/>
  <c r="Y216" i="17"/>
  <c r="Q216" i="17" s="1"/>
  <c r="W216" i="17" s="1"/>
  <c r="Y96" i="17"/>
  <c r="Q96" i="17" s="1"/>
  <c r="W96" i="17" s="1"/>
  <c r="Y271" i="17"/>
  <c r="Q271" i="17" s="1"/>
  <c r="W271" i="17" s="1"/>
  <c r="Y206" i="17"/>
  <c r="Q206" i="17" s="1"/>
  <c r="W206" i="17" s="1"/>
  <c r="Y86" i="17"/>
  <c r="Q86" i="17" s="1"/>
  <c r="W86" i="17" s="1"/>
  <c r="Y261" i="17"/>
  <c r="Q261" i="17" s="1"/>
  <c r="W261" i="17" s="1"/>
  <c r="Q141" i="17"/>
  <c r="W141" i="17" s="1"/>
  <c r="Y76" i="17"/>
  <c r="Q76" i="17" s="1"/>
  <c r="W76" i="17" s="1"/>
  <c r="N72" i="17" a="1"/>
  <c r="N72" i="17" s="1"/>
  <c r="Q106" i="17"/>
  <c r="W106" i="17" s="1"/>
  <c r="Y161" i="17"/>
  <c r="Q161" i="17" s="1"/>
  <c r="W161" i="17" s="1"/>
  <c r="Y66" i="17"/>
  <c r="Q66" i="17" s="1"/>
  <c r="W66" i="17" s="1"/>
  <c r="Y270" i="17"/>
  <c r="Q270" i="17" s="1"/>
  <c r="W270" i="17" s="1"/>
  <c r="Q260" i="17"/>
  <c r="W260" i="17" s="1"/>
  <c r="Q33" i="17"/>
  <c r="W33" i="17" s="1"/>
  <c r="N252" i="17" a="1"/>
  <c r="N252" i="17" s="1"/>
  <c r="N134" i="17" a="1"/>
  <c r="N134" i="17" s="1"/>
  <c r="N22" i="17" a="1"/>
  <c r="N22" i="17" s="1"/>
  <c r="N197" i="17" a="1"/>
  <c r="N197" i="17" s="1"/>
  <c r="N133" i="17" a="1"/>
  <c r="N133" i="17" s="1"/>
  <c r="N12" i="17" a="1"/>
  <c r="N12" i="17" s="1"/>
  <c r="Q159" i="17"/>
  <c r="W159" i="17" s="1"/>
  <c r="Y214" i="17"/>
  <c r="Q214" i="17" s="1"/>
  <c r="W214" i="17" s="1"/>
  <c r="Q64" i="17"/>
  <c r="W64" i="17" s="1"/>
  <c r="N23" i="17" a="1"/>
  <c r="N23" i="17" s="1"/>
  <c r="N132" i="17" a="1"/>
  <c r="N132" i="17" s="1"/>
  <c r="N2" i="17" a="1"/>
  <c r="N2" i="17" s="1"/>
  <c r="Q36" i="17"/>
  <c r="W36" i="17" s="1"/>
  <c r="Q93" i="17"/>
  <c r="W93" i="17" s="1"/>
  <c r="Y268" i="17"/>
  <c r="Q268" i="17" s="1"/>
  <c r="W268" i="17" s="1"/>
  <c r="Y148" i="17"/>
  <c r="Q148" i="17" s="1"/>
  <c r="W148" i="17" s="1"/>
  <c r="Y203" i="17"/>
  <c r="Q203" i="17" s="1"/>
  <c r="W203" i="17" s="1"/>
  <c r="Q83" i="17"/>
  <c r="W83" i="17" s="1"/>
  <c r="Y192" i="17"/>
  <c r="Q192" i="17" s="1"/>
  <c r="W192" i="17" s="1"/>
  <c r="N82" i="17" a="1"/>
  <c r="N82" i="17" s="1"/>
  <c r="N13" i="17" a="1"/>
  <c r="N13" i="17" s="1"/>
  <c r="N196" i="17" a="1"/>
  <c r="N196" i="17" s="1"/>
  <c r="Q212" i="17"/>
  <c r="W212" i="17" s="1"/>
  <c r="Q82" i="17"/>
  <c r="W82" i="17" s="1"/>
  <c r="Q137" i="17"/>
  <c r="W137" i="17" s="1"/>
  <c r="N199" i="17" a="1"/>
  <c r="N199" i="17" s="1"/>
  <c r="N3" i="17" a="1"/>
  <c r="N3" i="17" s="1"/>
  <c r="N77" i="17" a="1"/>
  <c r="N77" i="17" s="1"/>
  <c r="Q67" i="17"/>
  <c r="W67" i="17" s="1"/>
  <c r="Q276" i="17"/>
  <c r="W276" i="17" s="1"/>
  <c r="Y156" i="17"/>
  <c r="Q156" i="17" s="1"/>
  <c r="W156" i="17" s="1"/>
  <c r="Q91" i="17"/>
  <c r="W91" i="17" s="1"/>
  <c r="Y266" i="17"/>
  <c r="Q266" i="17" s="1"/>
  <c r="W266" i="17" s="1"/>
  <c r="Q146" i="17"/>
  <c r="W146" i="17" s="1"/>
  <c r="Y34" i="17"/>
  <c r="Q34" i="17" s="1"/>
  <c r="W34" i="17" s="1"/>
  <c r="Y201" i="17"/>
  <c r="Q201" i="17" s="1"/>
  <c r="W201" i="17" s="1"/>
  <c r="Y256" i="17"/>
  <c r="Q256" i="17" s="1"/>
  <c r="W256" i="17" s="1"/>
  <c r="Y136" i="17"/>
  <c r="Q136" i="17" s="1"/>
  <c r="W136" i="17" s="1"/>
  <c r="Y52" i="17"/>
  <c r="Q52" i="17" s="1"/>
  <c r="W52" i="17" s="1"/>
  <c r="N257" i="17" a="1"/>
  <c r="N257" i="17" s="1"/>
  <c r="N194" i="17" a="1"/>
  <c r="N194" i="17" s="1"/>
  <c r="N76" i="17" a="1"/>
  <c r="N76" i="17" s="1"/>
  <c r="Q101" i="17"/>
  <c r="W101" i="17" s="1"/>
  <c r="Y6" i="17"/>
  <c r="Q6" i="17" s="1"/>
  <c r="W6" i="17" s="1"/>
  <c r="Y265" i="17"/>
  <c r="Q265" i="17" s="1"/>
  <c r="W265" i="17" s="1"/>
  <c r="Q145" i="17"/>
  <c r="W145" i="17" s="1"/>
  <c r="Q24" i="17"/>
  <c r="W24" i="17" s="1"/>
  <c r="Q200" i="17"/>
  <c r="W200" i="17" s="1"/>
  <c r="Q135" i="17"/>
  <c r="W135" i="17" s="1"/>
  <c r="Q42" i="17"/>
  <c r="W42" i="17" s="1"/>
  <c r="N256" i="17" a="1"/>
  <c r="N256" i="17" s="1"/>
  <c r="N193" i="17" a="1"/>
  <c r="N193" i="17" s="1"/>
  <c r="N74" i="17" a="1"/>
  <c r="N74" i="17" s="1"/>
  <c r="N79" i="17" a="1"/>
  <c r="N79" i="17" s="1"/>
  <c r="N192" i="17" a="1"/>
  <c r="N192" i="17" s="1"/>
  <c r="N73" i="17" a="1"/>
  <c r="N73" i="17" s="1"/>
  <c r="N255" i="17" a="1"/>
  <c r="N255" i="17" s="1"/>
  <c r="N137" i="17" a="1"/>
  <c r="N137" i="17" s="1"/>
  <c r="N62" i="17" a="1"/>
  <c r="N62" i="17" s="1"/>
  <c r="Y273" i="17"/>
  <c r="Q273" i="17" s="1"/>
  <c r="W273" i="17" s="1"/>
  <c r="Q208" i="17"/>
  <c r="W208" i="17" s="1"/>
  <c r="Y143" i="17"/>
  <c r="Q143" i="17" s="1"/>
  <c r="W143" i="17" s="1"/>
  <c r="Q63" i="17"/>
  <c r="W63" i="17" s="1"/>
  <c r="Q252" i="17"/>
  <c r="W252" i="17" s="1"/>
  <c r="Y132" i="17"/>
  <c r="Q132" i="17" s="1"/>
  <c r="W132" i="17" s="1"/>
  <c r="N254" i="17" a="1"/>
  <c r="N254" i="17" s="1"/>
  <c r="N136" i="17" a="1"/>
  <c r="N136" i="17" s="1"/>
  <c r="N75" i="17" a="1"/>
  <c r="N7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drub\desktop\ruben\uma\optativas\modelado y simulación de sistemas\modelado mio\arena\practica 2\practica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drub\desktop\ruben\uma\optativas\modelado y simulación de sistemas\modelado mio\arena\practica 2\practica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drub\desktop\ruben\uma\optativas\modelado y simulación de sistemas\modelado mio\arena\practica 2\practica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drub\desktop\ruben\uma\optativas\modelado y simulación de sistemas\modelado mio\arena\practica 2\practica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drub\desktop\ruben\uma\optativas\modelado y simulación de sistemas\modelado mio\arena\practica 2\practica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drub\desktop\ruben\uma\optativas\modelado y simulación de sistemas\modelado mio\arena\practica 2\practica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<sst xmlns="http://schemas.openxmlformats.org/spreadsheetml/2006/main" count="3586" uniqueCount="124">
  <si>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</si>
  <si>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</si>
  <si>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</si>
  <si>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</si>
  <si>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</si>
  <si>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</si>
  <si>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</si>
  <si>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</si>
  <si>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</si>
  <si>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</si>
  <si>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</si>
  <si>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</si>
  <si>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</si>
  <si>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</si>
  <si>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</si>
  <si>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</si>
  <si>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</si>
  <si>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</si>
  <si>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</si>
  <si>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</si>
  <si>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</si>
  <si>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</si>
  <si>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</si>
  <si>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</si>
  <si>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</si>
  <si>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</si>
  <si>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</si>
  <si>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</si>
  <si>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</si>
  <si>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</si>
  <si>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</si>
  <si>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</si>
  <si>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</si>
  <si>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</si>
  <si>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</si>
  <si>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</si>
  <si>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</si>
  <si>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</si>
  <si>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</si>
  <si>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</si>
  <si>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</si>
  <si>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</si>
  <si>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</si>
  <si>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</si>
  <si>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</si>
  <si>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</si>
  <si>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</si>
  <si>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</si>
  <si>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</si>
  <si>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</si>
  <si>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</si>
  <si>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</si>
  <si>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</si>
  <si>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</si>
  <si>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</si>
  <si>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</si>
  <si>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</si>
  <si>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</si>
  <si>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</si>
  <si>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</si>
  <si>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</si>
  <si>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</si>
  <si>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</si>
  <si>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</si>
  <si>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</si>
  <si>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</si>
  <si>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</si>
  <si>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C:\Users\adrub\Desktop\Ruben\UMA\Optativas\Modelado y Simulación de Sistemas\Modelado mio\Arena\Practica 2\Practica2.p</t>
  </si>
  <si>
    <t>2023-05-02 18:47:03</t>
  </si>
  <si>
    <t>Process A.Queue</t>
  </si>
  <si>
    <t>Waiting Time</t>
  </si>
  <si>
    <t>Queue</t>
  </si>
  <si>
    <t>Process B.Queue</t>
  </si>
  <si>
    <t>Process C.Queue</t>
  </si>
  <si>
    <t>TCiclo1</t>
  </si>
  <si>
    <t>None</t>
  </si>
  <si>
    <t>User Specified</t>
  </si>
  <si>
    <t>TCiclo2</t>
  </si>
  <si>
    <t>TCiclo3</t>
  </si>
  <si>
    <t>TCiclo4</t>
  </si>
  <si>
    <t>Type1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</si>
  <si>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</si>
  <si>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</si>
  <si>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</si>
  <si>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</si>
  <si>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</si>
  <si>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</si>
  <si>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</si>
  <si>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Type2</t>
  </si>
  <si>
    <t>Type3</t>
  </si>
  <si>
    <t>Type4</t>
  </si>
  <si>
    <t>Machine A</t>
  </si>
  <si>
    <t>Instantaneous Utilization</t>
  </si>
  <si>
    <t>Resource</t>
  </si>
  <si>
    <t>Number Busy</t>
  </si>
  <si>
    <t>Number Scheduled</t>
  </si>
  <si>
    <t>Machine B</t>
  </si>
  <si>
    <t>Machine C</t>
  </si>
  <si>
    <t>Piece</t>
  </si>
  <si>
    <t>WIP</t>
  </si>
  <si>
    <t>Number Waiting</t>
  </si>
  <si>
    <t>Machine A.NumberSeized</t>
  </si>
  <si>
    <t>Total Number Seized</t>
  </si>
  <si>
    <t>Machine A.ScheduledUtilization</t>
  </si>
  <si>
    <t>Scheduled Utilization</t>
  </si>
  <si>
    <t>Machine B.NumberSeized</t>
  </si>
  <si>
    <t>Machine B.ScheduledUtilization</t>
  </si>
  <si>
    <t>Machine C.NumberSeized</t>
  </si>
  <si>
    <t>Machine C.ScheduledUtilization</t>
  </si>
  <si>
    <t>Piece.NumberIn</t>
  </si>
  <si>
    <t>Number In</t>
  </si>
  <si>
    <t>Piece.NumberOut</t>
  </si>
  <si>
    <t>Number Out</t>
  </si>
  <si>
    <t>System.NumberOut</t>
  </si>
  <si>
    <t>System</t>
  </si>
  <si>
    <t>Type1.NumberIn</t>
  </si>
  <si>
    <t>Type1.NumberOut</t>
  </si>
  <si>
    <t>Type2.NumberIn</t>
  </si>
  <si>
    <t>Type2.NumberOut</t>
  </si>
  <si>
    <t>Type3.NumberIn</t>
  </si>
  <si>
    <t>Type3.NumberOut</t>
  </si>
  <si>
    <t>Type4.NumberIn</t>
  </si>
  <si>
    <t>Type4.NumberOut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</si>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</sst>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8.782742824071" createdVersion="7" refreshedVersion="8" minRefreshableVersion="3" recordCount="17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5">
        <s v="Machine A"/>
        <s v="Machine B"/>
        <s v="Machine C"/>
        <s v="Piece"/>
        <s v="Process A.Queue"/>
        <s v="Process B.Queue"/>
        <s v="Process C.Queue"/>
        <s v="Type1"/>
        <s v="Type2"/>
        <s v="Type3"/>
        <s v="Type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2.0694940020354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6"/>
    </cacheField>
    <cacheField name="LastRecordedValue" numFmtId="0">
      <sharedItems containsSemiMixedTypes="0" containsString="0" containsNumber="1" containsInteg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.5182288080990141"/>
    </cacheField>
    <cacheField name="StDevOfAverage" numFmtId="0">
      <sharedItems containsSemiMixedTypes="0" containsString="0" containsNumber="1" minValue="0" maxValue="0.3991270913803989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8551832117895298"/>
    </cacheField>
    <cacheField name="MinimumAverage" numFmtId="0">
      <sharedItems containsSemiMixedTypes="0" containsString="0" containsNumber="1" minValue="0" maxValue="1.2311050618933901"/>
    </cacheField>
    <cacheField name="MaximumAverage" numFmtId="0">
      <sharedItems containsSemiMixedTypes="0" containsString="0" containsNumber="1" minValue="0" maxValue="2.06949400203548"/>
    </cacheField>
    <cacheField name="SummaryHalfWidth" numFmtId="0">
      <sharedItems containsSemiMixedTypes="0" containsString="0" containsNumber="1" minValue="0" maxValue="0.285518321178952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8.782742824071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8.782742939817" createdVersion="7" refreshedVersion="8" minRefreshableVersion="3" recordCount="3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0">
        <s v="Process A.Queue"/>
        <s v="Process B.Queue"/>
        <s v="Process C.Queue"/>
        <s v="TCiclo1"/>
        <s v="TCiclo2"/>
        <s v="TCiclo3"/>
        <s v="TCiclo4"/>
        <s v="Type1"/>
        <s v="Type2"/>
        <s v="Type3"/>
        <s v="Type4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Waiting Time"/>
        <s v="Non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76.9464267480857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56.626986922865299"/>
    </cacheField>
    <cacheField name="Maximum" numFmtId="0">
      <sharedItems containsSemiMixedTypes="0" containsString="0" containsNumber="1" minValue="0" maxValue="119.281368492802"/>
    </cacheField>
    <cacheField name="NumberObservations" numFmtId="0">
      <sharedItems containsSemiMixedTypes="0" containsString="0" containsNumber="1" containsInteger="1" minValue="7" maxValue="37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70.135489387108677"/>
    </cacheField>
    <cacheField name="StDevOfAverage" numFmtId="0">
      <sharedItems containsSemiMixedTypes="0" containsString="0" containsNumber="1" minValue="0" maxValue="6.755103602178317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8323100123655722"/>
    </cacheField>
    <cacheField name="MinimumAverage" numFmtId="0">
      <sharedItems containsSemiMixedTypes="0" containsString="0" containsNumber="1" minValue="0" maxValue="60.103381078758702"/>
    </cacheField>
    <cacheField name="MaximumAverage" numFmtId="0">
      <sharedItems containsSemiMixedTypes="0" containsString="0" containsNumber="1" minValue="0" maxValue="76.946426748085798"/>
    </cacheField>
    <cacheField name="OverallMinimum" numFmtId="0">
      <sharedItems containsSemiMixedTypes="0" containsString="0" containsNumber="1" minValue="0" maxValue="43.060314991725399"/>
    </cacheField>
    <cacheField name="OverallMaximum" numFmtId="0">
      <sharedItems containsSemiMixedTypes="0" containsString="0" containsNumber="1" minValue="0" maxValue="119.281368492802"/>
    </cacheField>
    <cacheField name="AverageNumberObservations" numFmtId="0">
      <sharedItems containsSemiMixedTypes="0" containsString="0" containsNumber="1" minValue="9.1" maxValue="35"/>
    </cacheField>
    <cacheField name="SummaryHalfWidth" numFmtId="0">
      <sharedItems containsSemiMixedTypes="0" containsString="0" containsNumber="1" minValue="0" maxValue="4.8323100123655722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8.782742939817" createdVersion="7" refreshedVersion="8" minRefreshableVersion="3" recordCount="17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5">
        <s v="Machine A.NumberSeized"/>
        <s v="Machine A.ScheduledUtilization"/>
        <s v="Machine B.NumberSeized"/>
        <s v="Machine B.ScheduledUtilization"/>
        <s v="Machine C.NumberSeized"/>
        <s v="Machine C.ScheduledUtilization"/>
        <s v="Piece.NumberIn"/>
        <s v="Piece.NumberOut"/>
        <s v="System.NumberOut"/>
        <s v="Type1.NumberIn"/>
        <s v="Type1.NumberOut"/>
        <s v="Type2.NumberIn"/>
        <s v="Type2.NumberOut"/>
        <s v="Type3.NumberIn"/>
        <s v="Type3.NumberOut"/>
        <s v="Type4.NumberIn"/>
        <s v="Type4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69586636126078405" maxValue="4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77733493379426299" maxValue="49"/>
    </cacheField>
    <cacheField name="StandardDeviation" numFmtId="0">
      <sharedItems containsSemiMixedTypes="0" containsString="0" containsNumber="1" minValue="0" maxValue="2.91547594742265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0856058531801596"/>
    </cacheField>
    <cacheField name="Minimum" numFmtId="0">
      <sharedItems containsSemiMixedTypes="0" containsString="0" containsNumber="1" minValue="0.69586636126078405" maxValue="49"/>
    </cacheField>
    <cacheField name="Maximum" numFmtId="0">
      <sharedItems containsSemiMixedTypes="0" containsString="0" containsNumber="1" minValue="0.89372434220669095" maxValue="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8.78274305555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3-05-02 18:47:03"/>
    <n v="1"/>
    <x v="0"/>
    <x v="0"/>
    <x v="0"/>
    <n v="0.80135542616927102"/>
    <n v="2E+20"/>
    <n v="0"/>
    <n v="1"/>
    <n v="0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1"/>
    <x v="0"/>
    <x v="1"/>
    <x v="0"/>
    <n v="0.80135542616927102"/>
    <n v="2E+20"/>
    <n v="0"/>
    <n v="1"/>
    <n v="0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1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1"/>
    <x v="1"/>
    <x v="0"/>
    <x v="0"/>
    <n v="0.902007440428508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1"/>
    <x v="1"/>
    <x v="1"/>
    <x v="0"/>
    <n v="0.902007440428508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1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1"/>
    <x v="2"/>
    <x v="0"/>
    <x v="0"/>
    <n v="0.82487352272256997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1"/>
    <x v="2"/>
    <x v="1"/>
    <x v="0"/>
    <n v="0.82487352272256997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1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1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1"/>
    <x v="4"/>
    <x v="4"/>
    <x v="2"/>
    <n v="0.29239893661271898"/>
    <n v="2E+20"/>
    <n v="0"/>
    <n v="2"/>
    <n v="0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1"/>
    <x v="5"/>
    <x v="4"/>
    <x v="2"/>
    <n v="1.15248185781424"/>
    <n v="2E+20"/>
    <n v="0"/>
    <n v="4"/>
    <n v="4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1"/>
    <x v="6"/>
    <x v="4"/>
    <x v="2"/>
    <n v="0.67499830178485298"/>
    <n v="2E+20"/>
    <n v="0"/>
    <n v="3"/>
    <n v="0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1"/>
    <x v="7"/>
    <x v="3"/>
    <x v="1"/>
    <n v="0.96722101179162301"/>
    <n v="2E+20"/>
    <n v="0"/>
    <n v="3"/>
    <n v="0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1"/>
    <x v="8"/>
    <x v="3"/>
    <x v="1"/>
    <n v="2.06949400203548"/>
    <n v="2E+20"/>
    <n v="0"/>
    <n v="5"/>
    <n v="1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1"/>
    <x v="9"/>
    <x v="3"/>
    <x v="1"/>
    <n v="0.81301403958667195"/>
    <n v="2E+20"/>
    <n v="0"/>
    <n v="3"/>
    <n v="2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1"/>
    <x v="10"/>
    <x v="3"/>
    <x v="1"/>
    <n v="1.71713643211839"/>
    <n v="2E+20"/>
    <n v="0"/>
    <n v="4"/>
    <n v="4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2"/>
    <x v="0"/>
    <x v="0"/>
    <x v="0"/>
    <n v="0.89145105084620302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2"/>
    <x v="0"/>
    <x v="1"/>
    <x v="0"/>
    <n v="0.89145105084620302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2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2"/>
    <x v="1"/>
    <x v="0"/>
    <x v="0"/>
    <n v="0.870326788161501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2"/>
    <x v="1"/>
    <x v="1"/>
    <x v="0"/>
    <n v="0.870326788161501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2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2"/>
    <x v="2"/>
    <x v="0"/>
    <x v="0"/>
    <n v="0.70782288620545397"/>
    <n v="2E+20"/>
    <n v="0"/>
    <n v="1"/>
    <n v="0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2"/>
    <x v="2"/>
    <x v="1"/>
    <x v="0"/>
    <n v="0.70782288620545397"/>
    <n v="2E+20"/>
    <n v="0"/>
    <n v="1"/>
    <n v="0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2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2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2"/>
    <x v="4"/>
    <x v="4"/>
    <x v="2"/>
    <n v="0.56520269571785997"/>
    <n v="2E+20"/>
    <n v="0"/>
    <n v="2"/>
    <n v="1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2"/>
    <x v="5"/>
    <x v="4"/>
    <x v="2"/>
    <n v="0.58969972979367002"/>
    <n v="2E+20"/>
    <n v="0"/>
    <n v="3"/>
    <n v="1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2"/>
    <x v="6"/>
    <x v="4"/>
    <x v="2"/>
    <n v="0.39004696697629798"/>
    <n v="2E+20"/>
    <n v="0"/>
    <n v="3"/>
    <n v="0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2"/>
    <x v="7"/>
    <x v="3"/>
    <x v="1"/>
    <n v="0.91852106259337096"/>
    <n v="2E+20"/>
    <n v="0"/>
    <n v="2"/>
    <n v="0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2"/>
    <x v="8"/>
    <x v="3"/>
    <x v="1"/>
    <n v="1.65454407098985"/>
    <n v="2E+20"/>
    <n v="0"/>
    <n v="4"/>
    <n v="4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2"/>
    <x v="9"/>
    <x v="3"/>
    <x v="1"/>
    <n v="1.42163928324445"/>
    <n v="2E+20"/>
    <n v="0"/>
    <n v="4"/>
    <n v="2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2"/>
    <x v="10"/>
    <x v="3"/>
    <x v="1"/>
    <n v="0.93930962303036503"/>
    <n v="2E+20"/>
    <n v="0"/>
    <n v="3"/>
    <n v="0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3"/>
    <x v="0"/>
    <x v="0"/>
    <x v="0"/>
    <n v="0.80803419515763997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3"/>
    <x v="0"/>
    <x v="1"/>
    <x v="0"/>
    <n v="0.80803419515763997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3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3"/>
    <x v="1"/>
    <x v="0"/>
    <x v="0"/>
    <n v="0.81794711450151802"/>
    <n v="2E+20"/>
    <n v="0"/>
    <n v="1"/>
    <n v="0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3"/>
    <x v="1"/>
    <x v="1"/>
    <x v="0"/>
    <n v="0.81794711450151802"/>
    <n v="2E+20"/>
    <n v="0"/>
    <n v="1"/>
    <n v="0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3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3"/>
    <x v="2"/>
    <x v="0"/>
    <x v="0"/>
    <n v="0.79202715857680095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3"/>
    <x v="2"/>
    <x v="1"/>
    <x v="0"/>
    <n v="0.79202715857680095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3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3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3"/>
    <x v="4"/>
    <x v="4"/>
    <x v="2"/>
    <n v="0.33553270396392698"/>
    <n v="2E+20"/>
    <n v="0"/>
    <n v="2"/>
    <n v="1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3"/>
    <x v="5"/>
    <x v="4"/>
    <x v="2"/>
    <n v="0.39910664712189398"/>
    <n v="2E+20"/>
    <n v="0"/>
    <n v="3"/>
    <n v="0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3"/>
    <x v="6"/>
    <x v="4"/>
    <x v="2"/>
    <n v="0.45941003777089501"/>
    <n v="2E+20"/>
    <n v="0"/>
    <n v="3"/>
    <n v="2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3"/>
    <x v="7"/>
    <x v="3"/>
    <x v="1"/>
    <n v="1.2117185846095899"/>
    <n v="2E+20"/>
    <n v="0"/>
    <n v="3"/>
    <n v="3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3"/>
    <x v="8"/>
    <x v="3"/>
    <x v="1"/>
    <n v="1.2613039358621201"/>
    <n v="2E+20"/>
    <n v="0"/>
    <n v="4"/>
    <n v="1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3"/>
    <x v="9"/>
    <x v="3"/>
    <x v="1"/>
    <n v="0.84420214779471603"/>
    <n v="2E+20"/>
    <n v="0"/>
    <n v="3"/>
    <n v="3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3"/>
    <x v="10"/>
    <x v="3"/>
    <x v="1"/>
    <n v="1.2031286572565101"/>
    <n v="2E+20"/>
    <n v="0"/>
    <n v="4"/>
    <n v="0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4"/>
    <x v="0"/>
    <x v="0"/>
    <x v="0"/>
    <n v="0.85168346880996104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4"/>
    <x v="0"/>
    <x v="1"/>
    <x v="0"/>
    <n v="0.85168346880996104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4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4"/>
    <x v="1"/>
    <x v="0"/>
    <x v="0"/>
    <n v="0.803390977632918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4"/>
    <x v="1"/>
    <x v="1"/>
    <x v="0"/>
    <n v="0.803390977632918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4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4"/>
    <x v="2"/>
    <x v="0"/>
    <x v="0"/>
    <n v="0.86241316352317199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4"/>
    <x v="2"/>
    <x v="1"/>
    <x v="0"/>
    <n v="0.86241316352317199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4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4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4"/>
    <x v="4"/>
    <x v="4"/>
    <x v="2"/>
    <n v="0.25043980087231799"/>
    <n v="2E+20"/>
    <n v="0"/>
    <n v="1"/>
    <n v="1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4"/>
    <x v="5"/>
    <x v="4"/>
    <x v="2"/>
    <n v="0.41449084657142399"/>
    <n v="2E+20"/>
    <n v="0"/>
    <n v="2"/>
    <n v="1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4"/>
    <x v="6"/>
    <x v="4"/>
    <x v="2"/>
    <n v="0.85348736174534501"/>
    <n v="2E+20"/>
    <n v="0"/>
    <n v="3"/>
    <n v="0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4"/>
    <x v="7"/>
    <x v="3"/>
    <x v="1"/>
    <n v="1.5437379153195401"/>
    <n v="2E+20"/>
    <n v="0"/>
    <n v="3"/>
    <n v="0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4"/>
    <x v="8"/>
    <x v="3"/>
    <x v="1"/>
    <n v="1.3483695421322599"/>
    <n v="2E+20"/>
    <n v="0"/>
    <n v="5"/>
    <n v="5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4"/>
    <x v="9"/>
    <x v="3"/>
    <x v="1"/>
    <n v="0.81867769287591596"/>
    <n v="2E+20"/>
    <n v="0"/>
    <n v="3"/>
    <n v="1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4"/>
    <x v="10"/>
    <x v="3"/>
    <x v="1"/>
    <n v="1.2313704688274301"/>
    <n v="2E+20"/>
    <n v="0"/>
    <n v="4"/>
    <n v="0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5"/>
    <x v="0"/>
    <x v="0"/>
    <x v="0"/>
    <n v="0.70923148168898098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5"/>
    <x v="0"/>
    <x v="1"/>
    <x v="0"/>
    <n v="0.70923148168898098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5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5"/>
    <x v="1"/>
    <x v="0"/>
    <x v="0"/>
    <n v="0.91938608785018705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5"/>
    <x v="1"/>
    <x v="1"/>
    <x v="0"/>
    <n v="0.91938608785018705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5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5"/>
    <x v="2"/>
    <x v="0"/>
    <x v="0"/>
    <n v="0.74064208814979704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5"/>
    <x v="2"/>
    <x v="1"/>
    <x v="0"/>
    <n v="0.74064208814979704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5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5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5"/>
    <x v="4"/>
    <x v="4"/>
    <x v="2"/>
    <n v="0.112285312750481"/>
    <n v="2E+20"/>
    <n v="0"/>
    <n v="1"/>
    <n v="0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5"/>
    <x v="5"/>
    <x v="4"/>
    <x v="2"/>
    <n v="0.62044844278173095"/>
    <n v="2E+20"/>
    <n v="0"/>
    <n v="2"/>
    <n v="1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5"/>
    <x v="6"/>
    <x v="4"/>
    <x v="2"/>
    <n v="0.21331563144656099"/>
    <n v="2E+20"/>
    <n v="0"/>
    <n v="2"/>
    <n v="0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5"/>
    <x v="7"/>
    <x v="3"/>
    <x v="1"/>
    <n v="0.73791054391385202"/>
    <n v="2E+20"/>
    <n v="0"/>
    <n v="2"/>
    <n v="1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5"/>
    <x v="8"/>
    <x v="3"/>
    <x v="1"/>
    <n v="1.2311050618933901"/>
    <n v="2E+20"/>
    <n v="0"/>
    <n v="3"/>
    <n v="2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5"/>
    <x v="9"/>
    <x v="3"/>
    <x v="1"/>
    <n v="0.93023232546798795"/>
    <n v="2E+20"/>
    <n v="0"/>
    <n v="3"/>
    <n v="1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5"/>
    <x v="10"/>
    <x v="3"/>
    <x v="1"/>
    <n v="1.3410611133924999"/>
    <n v="2E+20"/>
    <n v="0"/>
    <n v="3"/>
    <n v="1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6"/>
    <x v="0"/>
    <x v="0"/>
    <x v="0"/>
    <n v="0.92513911074198196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6"/>
    <x v="0"/>
    <x v="1"/>
    <x v="0"/>
    <n v="0.92513911074198196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6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6"/>
    <x v="1"/>
    <x v="0"/>
    <x v="0"/>
    <n v="0.83200427859563797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6"/>
    <x v="1"/>
    <x v="1"/>
    <x v="0"/>
    <n v="0.83200427859563797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6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6"/>
    <x v="2"/>
    <x v="0"/>
    <x v="0"/>
    <n v="0.69586636126078405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6"/>
    <x v="2"/>
    <x v="1"/>
    <x v="0"/>
    <n v="0.69586636126078405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6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6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6"/>
    <x v="4"/>
    <x v="4"/>
    <x v="2"/>
    <n v="1.1577111225029799"/>
    <n v="2E+20"/>
    <n v="0"/>
    <n v="3"/>
    <n v="2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6"/>
    <x v="5"/>
    <x v="4"/>
    <x v="2"/>
    <n v="0.36866578933268701"/>
    <n v="2E+20"/>
    <n v="0"/>
    <n v="2"/>
    <n v="1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6"/>
    <x v="6"/>
    <x v="4"/>
    <x v="2"/>
    <n v="0.50003922253590904"/>
    <n v="2E+20"/>
    <n v="0"/>
    <n v="3"/>
    <n v="0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6"/>
    <x v="7"/>
    <x v="3"/>
    <x v="1"/>
    <n v="1.1682238910292699"/>
    <n v="2E+20"/>
    <n v="0"/>
    <n v="3"/>
    <n v="2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6"/>
    <x v="8"/>
    <x v="3"/>
    <x v="1"/>
    <n v="1.7287464139411901"/>
    <n v="2E+20"/>
    <n v="0"/>
    <n v="4"/>
    <n v="1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6"/>
    <x v="9"/>
    <x v="3"/>
    <x v="1"/>
    <n v="1.6623255879926"/>
    <n v="2E+20"/>
    <n v="0"/>
    <n v="4"/>
    <n v="4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6"/>
    <x v="10"/>
    <x v="3"/>
    <x v="1"/>
    <n v="0.82142168923556802"/>
    <n v="2E+20"/>
    <n v="0"/>
    <n v="3"/>
    <n v="1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7"/>
    <x v="0"/>
    <x v="0"/>
    <x v="0"/>
    <n v="0.89664970452561799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7"/>
    <x v="0"/>
    <x v="1"/>
    <x v="0"/>
    <n v="0.89664970452561799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7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7"/>
    <x v="1"/>
    <x v="0"/>
    <x v="0"/>
    <n v="0.85837000633203198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7"/>
    <x v="1"/>
    <x v="1"/>
    <x v="0"/>
    <n v="0.85837000633203198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7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7"/>
    <x v="2"/>
    <x v="0"/>
    <x v="0"/>
    <n v="0.73089144561516906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7"/>
    <x v="2"/>
    <x v="1"/>
    <x v="0"/>
    <n v="0.73089144561516906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7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7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7"/>
    <x v="4"/>
    <x v="4"/>
    <x v="2"/>
    <n v="0.58569215978676903"/>
    <n v="2E+20"/>
    <n v="0"/>
    <n v="3"/>
    <n v="0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7"/>
    <x v="5"/>
    <x v="4"/>
    <x v="2"/>
    <n v="0.36122746646842502"/>
    <n v="2E+20"/>
    <n v="0"/>
    <n v="2"/>
    <n v="2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7"/>
    <x v="6"/>
    <x v="4"/>
    <x v="2"/>
    <n v="0.47351771582340901"/>
    <n v="2E+20"/>
    <n v="0"/>
    <n v="3"/>
    <n v="2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7"/>
    <x v="7"/>
    <x v="3"/>
    <x v="1"/>
    <n v="1.0726974790752"/>
    <n v="2E+20"/>
    <n v="0"/>
    <n v="3"/>
    <n v="2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7"/>
    <x v="8"/>
    <x v="3"/>
    <x v="1"/>
    <n v="1.79598360515388"/>
    <n v="2E+20"/>
    <n v="0"/>
    <n v="6"/>
    <n v="4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7"/>
    <x v="9"/>
    <x v="3"/>
    <x v="1"/>
    <n v="0.97914017564122102"/>
    <n v="2E+20"/>
    <n v="0"/>
    <n v="3"/>
    <n v="0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7"/>
    <x v="10"/>
    <x v="3"/>
    <x v="1"/>
    <n v="0.96477723868112397"/>
    <n v="2E+20"/>
    <n v="0"/>
    <n v="3"/>
    <n v="2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8"/>
    <x v="0"/>
    <x v="0"/>
    <x v="0"/>
    <n v="0.78750872668755401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8"/>
    <x v="0"/>
    <x v="1"/>
    <x v="0"/>
    <n v="0.78750872668755401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8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8"/>
    <x v="1"/>
    <x v="0"/>
    <x v="0"/>
    <n v="0.91225274068705997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8"/>
    <x v="1"/>
    <x v="1"/>
    <x v="0"/>
    <n v="0.91225274068705997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8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8"/>
    <x v="2"/>
    <x v="0"/>
    <x v="0"/>
    <n v="0.72793678885355895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8"/>
    <x v="2"/>
    <x v="1"/>
    <x v="0"/>
    <n v="0.72793678885355895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8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8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8"/>
    <x v="4"/>
    <x v="4"/>
    <x v="2"/>
    <n v="0.25693106807608401"/>
    <n v="2E+20"/>
    <n v="0"/>
    <n v="2"/>
    <n v="0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8"/>
    <x v="5"/>
    <x v="4"/>
    <x v="2"/>
    <n v="1.4544545357388801"/>
    <n v="2E+20"/>
    <n v="0"/>
    <n v="4"/>
    <n v="2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8"/>
    <x v="6"/>
    <x v="4"/>
    <x v="2"/>
    <n v="0.240354846220696"/>
    <n v="2E+20"/>
    <n v="0"/>
    <n v="2"/>
    <n v="0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8"/>
    <x v="7"/>
    <x v="3"/>
    <x v="1"/>
    <n v="0.76447271432418296"/>
    <n v="2E+20"/>
    <n v="0"/>
    <n v="2"/>
    <n v="2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8"/>
    <x v="8"/>
    <x v="3"/>
    <x v="1"/>
    <n v="1.27999645925998"/>
    <n v="2E+20"/>
    <n v="0"/>
    <n v="3"/>
    <n v="1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8"/>
    <x v="9"/>
    <x v="3"/>
    <x v="1"/>
    <n v="1.5238656472081"/>
    <n v="2E+20"/>
    <n v="0"/>
    <n v="3"/>
    <n v="2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8"/>
    <x v="10"/>
    <x v="3"/>
    <x v="1"/>
    <n v="1.71735388547157"/>
    <n v="2E+20"/>
    <n v="0"/>
    <n v="3"/>
    <n v="1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9"/>
    <x v="0"/>
    <x v="0"/>
    <x v="0"/>
    <n v="0.78922756928780502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9"/>
    <x v="0"/>
    <x v="1"/>
    <x v="0"/>
    <n v="0.78922756928780502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9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9"/>
    <x v="1"/>
    <x v="0"/>
    <x v="0"/>
    <n v="0.81912589087634702"/>
    <n v="2E+20"/>
    <n v="0"/>
    <n v="1"/>
    <n v="1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9"/>
    <x v="1"/>
    <x v="1"/>
    <x v="0"/>
    <n v="0.81912589087634702"/>
    <n v="2E+20"/>
    <n v="0"/>
    <n v="1"/>
    <n v="1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9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9"/>
    <x v="2"/>
    <x v="0"/>
    <x v="0"/>
    <n v="0.79715158082863302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9"/>
    <x v="2"/>
    <x v="1"/>
    <x v="0"/>
    <n v="0.79715158082863302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9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9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9"/>
    <x v="4"/>
    <x v="4"/>
    <x v="2"/>
    <n v="0.21943646616102799"/>
    <n v="2E+20"/>
    <n v="0"/>
    <n v="2"/>
    <n v="0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9"/>
    <x v="5"/>
    <x v="4"/>
    <x v="2"/>
    <n v="0.53547842650704602"/>
    <n v="2E+20"/>
    <n v="0"/>
    <n v="2"/>
    <n v="0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9"/>
    <x v="6"/>
    <x v="4"/>
    <x v="2"/>
    <n v="0.89908198964358599"/>
    <n v="2E+20"/>
    <n v="0"/>
    <n v="3"/>
    <n v="2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9"/>
    <x v="7"/>
    <x v="3"/>
    <x v="1"/>
    <n v="1.2876315830873899"/>
    <n v="2E+20"/>
    <n v="0"/>
    <n v="3"/>
    <n v="2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9"/>
    <x v="8"/>
    <x v="3"/>
    <x v="1"/>
    <n v="1.45182164122943"/>
    <n v="2E+20"/>
    <n v="0"/>
    <n v="4"/>
    <n v="1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9"/>
    <x v="9"/>
    <x v="3"/>
    <x v="1"/>
    <n v="0.786339643385641"/>
    <n v="2E+20"/>
    <n v="0"/>
    <n v="3"/>
    <n v="2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9"/>
    <x v="10"/>
    <x v="3"/>
    <x v="1"/>
    <n v="1.4524590556019901"/>
    <n v="2E+20"/>
    <n v="0"/>
    <n v="3"/>
    <n v="1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  <r>
    <x v="0"/>
    <s v="2023-05-02 18:47:03"/>
    <n v="10"/>
    <x v="0"/>
    <x v="0"/>
    <x v="0"/>
    <n v="0.85032998386021097"/>
    <n v="2E+20"/>
    <n v="0"/>
    <n v="1"/>
    <n v="1"/>
    <n v="0"/>
    <s v="Unnamed ProjectMachine AInstantaneous Utilization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10"/>
    <x v="0"/>
    <x v="1"/>
    <x v="0"/>
    <n v="0.85032998386021097"/>
    <n v="2E+20"/>
    <n v="0"/>
    <n v="1"/>
    <n v="1"/>
    <n v="0"/>
    <s v="Unnamed ProjectMachine ANumber BusyResource"/>
    <n v="10"/>
    <n v="0.83106107177752264"/>
    <n v="6.4548027001173278E-2"/>
    <n v="0.95"/>
    <n v="4.617487688207024E-2"/>
    <n v="0.70923148168898098"/>
    <n v="0.92513911074198196"/>
    <n v="4.617487688207024E-2"/>
  </r>
  <r>
    <x v="0"/>
    <s v="2023-05-02 18:47:03"/>
    <n v="10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18:47:03"/>
    <n v="10"/>
    <x v="1"/>
    <x v="0"/>
    <x v="0"/>
    <n v="0.71728584076343305"/>
    <n v="2E+20"/>
    <n v="0"/>
    <n v="1"/>
    <n v="0"/>
    <n v="0"/>
    <s v="Unnamed ProjectMachine BInstantaneous Utilization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10"/>
    <x v="1"/>
    <x v="1"/>
    <x v="0"/>
    <n v="0.71728584076343305"/>
    <n v="2E+20"/>
    <n v="0"/>
    <n v="1"/>
    <n v="0"/>
    <n v="0"/>
    <s v="Unnamed ProjectMachine BNumber BusyResource"/>
    <n v="10"/>
    <n v="0.84520971658291411"/>
    <n v="6.1226598287413884E-2"/>
    <n v="0.95"/>
    <n v="4.3798869913993184E-2"/>
    <n v="0.71728584076343305"/>
    <n v="0.91938608785018705"/>
    <n v="4.3798869913993184E-2"/>
  </r>
  <r>
    <x v="0"/>
    <s v="2023-05-02 18:47:03"/>
    <n v="10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18:47:03"/>
    <n v="10"/>
    <x v="2"/>
    <x v="0"/>
    <x v="0"/>
    <n v="0.89372434220669095"/>
    <n v="2E+20"/>
    <n v="0"/>
    <n v="1"/>
    <n v="1"/>
    <n v="0"/>
    <s v="Unnamed ProjectMachine CInstantaneous Utilization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10"/>
    <x v="2"/>
    <x v="1"/>
    <x v="0"/>
    <n v="0.89372434220669095"/>
    <n v="2E+20"/>
    <n v="0"/>
    <n v="1"/>
    <n v="1"/>
    <n v="0"/>
    <s v="Unnamed ProjectMachine CNumber BusyResource"/>
    <n v="10"/>
    <n v="0.77733493379426299"/>
    <n v="6.75490523663973E-2"/>
    <n v="0.95"/>
    <n v="4.8321681102076373E-2"/>
    <n v="0.69586636126078405"/>
    <n v="0.89372434220669095"/>
    <n v="4.8321681102076373E-2"/>
  </r>
  <r>
    <x v="0"/>
    <s v="2023-05-02 18:47:03"/>
    <n v="10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18:47:03"/>
    <n v="10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18:47:03"/>
    <n v="10"/>
    <x v="4"/>
    <x v="4"/>
    <x v="2"/>
    <n v="0.60360058627180102"/>
    <n v="2E+20"/>
    <n v="0"/>
    <n v="3"/>
    <n v="0"/>
    <n v="0"/>
    <s v="Unnamed ProjectProcess A.QueueNumber WaitingQueue"/>
    <n v="10"/>
    <n v="0.43792308527159668"/>
    <n v="0.30494538187923392"/>
    <n v="0.95"/>
    <n v="0.21814478487117156"/>
    <n v="0.112285312750481"/>
    <n v="1.1577111225029799"/>
    <n v="0.21814478487117156"/>
  </r>
  <r>
    <x v="0"/>
    <s v="2023-05-02 18:47:03"/>
    <n v="10"/>
    <x v="5"/>
    <x v="4"/>
    <x v="2"/>
    <n v="0.14331492780305599"/>
    <n v="2E+20"/>
    <n v="0"/>
    <n v="2"/>
    <n v="0"/>
    <n v="0"/>
    <s v="Unnamed ProjectProcess B.QueueNumber WaitingQueue"/>
    <n v="10"/>
    <n v="0.60393686699330529"/>
    <n v="0.39912709138039898"/>
    <n v="0.95"/>
    <n v="0.28551832117895298"/>
    <n v="0.14331492780305599"/>
    <n v="1.4544545357388801"/>
    <n v="0.28551832117895298"/>
  </r>
  <r>
    <x v="0"/>
    <s v="2023-05-02 18:47:03"/>
    <n v="10"/>
    <x v="6"/>
    <x v="4"/>
    <x v="2"/>
    <n v="1.22637838136578"/>
    <n v="2E+20"/>
    <n v="0"/>
    <n v="4"/>
    <n v="1"/>
    <n v="0"/>
    <s v="Unnamed ProjectProcess C.QueueNumber WaitingQueue"/>
    <n v="10"/>
    <n v="0.59306304553133327"/>
    <n v="0.31970550058721603"/>
    <n v="0.95"/>
    <n v="0.22870353772187338"/>
    <n v="0.21331563144656099"/>
    <n v="1.22637838136578"/>
    <n v="0.22870353772187338"/>
  </r>
  <r>
    <x v="0"/>
    <s v="2023-05-02 18:47:03"/>
    <n v="10"/>
    <x v="7"/>
    <x v="3"/>
    <x v="1"/>
    <n v="2.0648494861280899"/>
    <n v="2E+20"/>
    <n v="0"/>
    <n v="4"/>
    <n v="2"/>
    <n v="0"/>
    <s v="Unnamed ProjectType1WIPEntity"/>
    <n v="10"/>
    <n v="1.1736984271872108"/>
    <n v="0.39733306275491065"/>
    <n v="0.95"/>
    <n v="0.28423495041220082"/>
    <n v="0.73791054391385202"/>
    <n v="2.0648494861280899"/>
    <n v="0.28423495041220082"/>
  </r>
  <r>
    <x v="0"/>
    <s v="2023-05-02 18:47:03"/>
    <n v="10"/>
    <x v="8"/>
    <x v="3"/>
    <x v="1"/>
    <n v="1.36092334849256"/>
    <n v="2E+20"/>
    <n v="0"/>
    <n v="4"/>
    <n v="2"/>
    <n v="0"/>
    <s v="Unnamed ProjectType2WIPEntity"/>
    <n v="10"/>
    <n v="1.5182288080990141"/>
    <n v="0.28030791242452985"/>
    <n v="0.95"/>
    <n v="0.2005202009511077"/>
    <n v="1.2311050618933901"/>
    <n v="2.06949400203548"/>
    <n v="0.2005202009511077"/>
  </r>
  <r>
    <x v="0"/>
    <s v="2023-05-02 18:47:03"/>
    <n v="10"/>
    <x v="9"/>
    <x v="3"/>
    <x v="1"/>
    <n v="0.61363727304496296"/>
    <n v="2E+20"/>
    <n v="0"/>
    <n v="3"/>
    <n v="0"/>
    <n v="0"/>
    <s v="Unnamed ProjectType3WIPEntity"/>
    <n v="10"/>
    <n v="1.0393073816242269"/>
    <n v="0.3602134318185905"/>
    <n v="0.95"/>
    <n v="0.25768116607482183"/>
    <n v="0.61363727304496296"/>
    <n v="1.6623255879926"/>
    <n v="0.25768116607482183"/>
  </r>
  <r>
    <x v="0"/>
    <s v="2023-05-02 18:47:03"/>
    <n v="10"/>
    <x v="10"/>
    <x v="3"/>
    <x v="1"/>
    <n v="1.3186648114626101"/>
    <n v="2E+20"/>
    <n v="0"/>
    <n v="3"/>
    <n v="1"/>
    <n v="0"/>
    <s v="Unnamed ProjectType4WIPEntity"/>
    <n v="10"/>
    <n v="1.2706682975078056"/>
    <n v="0.30740217084022997"/>
    <n v="0.95"/>
    <n v="0.21990226582093259"/>
    <n v="0.82142168923556802"/>
    <n v="1.71735388547157"/>
    <n v="0.219902265820932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">
  <r>
    <x v="0"/>
    <s v="2023-05-02 18:47:03"/>
    <n v="1"/>
    <x v="0"/>
    <x v="0"/>
    <x v="0"/>
    <n v="4.38598404919078"/>
    <n v="2E+20"/>
    <n v="0"/>
    <n v="15.899731852993799"/>
    <n v="32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2"/>
    <x v="0"/>
    <x v="0"/>
    <x v="0"/>
    <n v="7.1431701066100803"/>
    <n v="2E+20"/>
    <n v="0"/>
    <n v="23.341999908309798"/>
    <n v="37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3"/>
    <x v="0"/>
    <x v="0"/>
    <x v="0"/>
    <n v="4.4015913686481403"/>
    <n v="2E+20"/>
    <n v="0"/>
    <n v="14.3251132654788"/>
    <n v="35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4"/>
    <x v="0"/>
    <x v="0"/>
    <x v="0"/>
    <n v="3.1447529005197898"/>
    <n v="2E+20"/>
    <n v="0"/>
    <n v="10.6686941795801"/>
    <n v="36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5"/>
    <x v="0"/>
    <x v="0"/>
    <x v="0"/>
    <n v="1.63324091273426"/>
    <n v="2E+20"/>
    <n v="0"/>
    <n v="8.8332274097818093"/>
    <n v="33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6"/>
    <x v="0"/>
    <x v="0"/>
    <x v="0"/>
    <n v="14.1000361838224"/>
    <n v="2E+20"/>
    <n v="0"/>
    <n v="33.782040595515802"/>
    <n v="37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7"/>
    <x v="0"/>
    <x v="0"/>
    <x v="0"/>
    <n v="7.8092287971569201"/>
    <n v="2E+20"/>
    <n v="0"/>
    <n v="24.553208234377401"/>
    <n v="36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8"/>
    <x v="0"/>
    <x v="0"/>
    <x v="0"/>
    <n v="3.7371791720157699"/>
    <n v="2E+20"/>
    <n v="0"/>
    <n v="16.463200847093599"/>
    <n v="33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9"/>
    <x v="0"/>
    <x v="0"/>
    <x v="0"/>
    <n v="3.0094143930655299"/>
    <n v="2E+20"/>
    <n v="0"/>
    <n v="12.183780358267301"/>
    <n v="35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10"/>
    <x v="0"/>
    <x v="0"/>
    <x v="0"/>
    <n v="8.0480078169573499"/>
    <n v="2E+20"/>
    <n v="0"/>
    <n v="25.365536022761201"/>
    <n v="36"/>
    <s v="Unnamed ProjectProcess A.QueueWaiting TimeQueue"/>
    <n v="10"/>
    <n v="5.741260570072102"/>
    <n v="3.6539255442177514"/>
    <n v="0.95"/>
    <n v="2.6138608719587877"/>
    <n v="1.63324091273426"/>
    <n v="14.1000361838224"/>
    <n v="0"/>
    <n v="33.782040595515802"/>
    <n v="35"/>
    <n v="2.6138608719587877"/>
    <n v="10"/>
    <n v="1"/>
  </r>
  <r>
    <x v="0"/>
    <s v="2023-05-02 18:47:03"/>
    <n v="1"/>
    <x v="1"/>
    <x v="0"/>
    <x v="0"/>
    <n v="14.1141102543882"/>
    <n v="2E+20"/>
    <n v="0"/>
    <n v="36.628392858522702"/>
    <n v="34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2"/>
    <x v="1"/>
    <x v="0"/>
    <x v="0"/>
    <n v="7.5666018909631996"/>
    <n v="2E+20"/>
    <n v="0"/>
    <n v="25.569228217920301"/>
    <n v="36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3"/>
    <x v="1"/>
    <x v="0"/>
    <x v="0"/>
    <n v="5.98659970682841"/>
    <n v="2E+20"/>
    <n v="0"/>
    <n v="30.689989533625301"/>
    <n v="32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4"/>
    <x v="1"/>
    <x v="0"/>
    <x v="0"/>
    <n v="6.4424157161932696"/>
    <n v="2E+20"/>
    <n v="0"/>
    <n v="23.4723227610001"/>
    <n v="30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5"/>
    <x v="1"/>
    <x v="0"/>
    <x v="0"/>
    <n v="7.9644141635114902"/>
    <n v="2E+20"/>
    <n v="0"/>
    <n v="26.623039381661702"/>
    <n v="37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6"/>
    <x v="1"/>
    <x v="0"/>
    <x v="0"/>
    <n v="4.8645153880266303"/>
    <n v="2E+20"/>
    <n v="0"/>
    <n v="19.3093745713788"/>
    <n v="33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7"/>
    <x v="1"/>
    <x v="0"/>
    <x v="0"/>
    <n v="4.7784974015230599"/>
    <n v="2E+20"/>
    <n v="0"/>
    <n v="15.0838292864759"/>
    <n v="34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8"/>
    <x v="1"/>
    <x v="0"/>
    <x v="0"/>
    <n v="18.2829789769605"/>
    <n v="2E+20"/>
    <n v="0"/>
    <n v="43.092738224866899"/>
    <n v="36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9"/>
    <x v="1"/>
    <x v="0"/>
    <x v="0"/>
    <n v="7.7887771128297603"/>
    <n v="2E+20"/>
    <n v="0"/>
    <n v="34.524184131639203"/>
    <n v="33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10"/>
    <x v="1"/>
    <x v="0"/>
    <x v="0"/>
    <n v="2.3721091498436899"/>
    <n v="2E+20"/>
    <n v="0"/>
    <n v="12.268636145104599"/>
    <n v="29"/>
    <s v="Unnamed ProjectProcess B.QueueWaiting TimeQueue"/>
    <n v="10"/>
    <n v="8.0161019761068228"/>
    <n v="4.7342190626064236"/>
    <n v="0.95"/>
    <n v="3.3866563008134714"/>
    <n v="2.3721091498436899"/>
    <n v="18.2829789769605"/>
    <n v="0"/>
    <n v="43.092738224866899"/>
    <n v="33.4"/>
    <n v="3.3866563008134714"/>
    <n v="10"/>
    <n v="1"/>
  </r>
  <r>
    <x v="0"/>
    <s v="2023-05-02 18:47:03"/>
    <n v="1"/>
    <x v="2"/>
    <x v="0"/>
    <x v="0"/>
    <n v="9.2571195673351205"/>
    <n v="2E+20"/>
    <n v="0"/>
    <n v="35.776897971436298"/>
    <n v="35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2"/>
    <x v="2"/>
    <x v="0"/>
    <x v="0"/>
    <n v="6.4559497982283798"/>
    <n v="2E+20"/>
    <n v="0"/>
    <n v="24.646572861654299"/>
    <n v="29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3"/>
    <x v="2"/>
    <x v="0"/>
    <x v="0"/>
    <n v="6.2282258000006196"/>
    <n v="2E+20"/>
    <n v="0"/>
    <n v="23.166695559442399"/>
    <n v="33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4"/>
    <x v="2"/>
    <x v="0"/>
    <x v="0"/>
    <n v="12.0492333422872"/>
    <n v="2E+20"/>
    <n v="0"/>
    <n v="34.032176146105101"/>
    <n v="34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5"/>
    <x v="2"/>
    <x v="0"/>
    <x v="0"/>
    <n v="3.1027728210408898"/>
    <n v="2E+20"/>
    <n v="0"/>
    <n v="11.8828154492361"/>
    <n v="33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6"/>
    <x v="2"/>
    <x v="0"/>
    <x v="0"/>
    <n v="8.00062756057455"/>
    <n v="2E+20"/>
    <n v="0"/>
    <n v="32.003420794569998"/>
    <n v="30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7"/>
    <x v="2"/>
    <x v="0"/>
    <x v="0"/>
    <n v="6.9375838494320803"/>
    <n v="2E+20"/>
    <n v="0"/>
    <n v="29.199921008392302"/>
    <n v="30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8"/>
    <x v="2"/>
    <x v="0"/>
    <x v="0"/>
    <n v="3.7216234253527198"/>
    <n v="2E+20"/>
    <n v="0"/>
    <n v="23.698687276954399"/>
    <n v="31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9"/>
    <x v="2"/>
    <x v="0"/>
    <x v="0"/>
    <n v="12.1337123904968"/>
    <n v="2E+20"/>
    <n v="0"/>
    <n v="28.544767073596098"/>
    <n v="34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10"/>
    <x v="2"/>
    <x v="0"/>
    <x v="0"/>
    <n v="15.5344661616934"/>
    <n v="2E+20"/>
    <n v="0"/>
    <n v="41.275755192244297"/>
    <n v="37"/>
    <s v="Unnamed ProjectProcess C.QueueWaiting TimeQueue"/>
    <n v="10"/>
    <n v="8.3421314716441763"/>
    <n v="3.9384317629968666"/>
    <n v="0.95"/>
    <n v="2.8173843603540285"/>
    <n v="3.1027728210408898"/>
    <n v="15.5344661616934"/>
    <n v="0"/>
    <n v="41.275755192244297"/>
    <n v="32.6"/>
    <n v="2.8173843603540285"/>
    <n v="10"/>
    <n v="1"/>
  </r>
  <r>
    <x v="0"/>
    <s v="2023-05-02 18:47:03"/>
    <n v="1"/>
    <x v="3"/>
    <x v="1"/>
    <x v="1"/>
    <n v="46.426608565997903"/>
    <n v="2E+20"/>
    <n v="28.5887394475752"/>
    <n v="62.855772453280601"/>
    <n v="10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2"/>
    <x v="3"/>
    <x v="1"/>
    <x v="1"/>
    <n v="48.9877900049798"/>
    <n v="2E+20"/>
    <n v="38.5569243398091"/>
    <n v="67.764376104860801"/>
    <n v="9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3"/>
    <x v="3"/>
    <x v="1"/>
    <x v="1"/>
    <n v="41.8020767177171"/>
    <n v="2E+20"/>
    <n v="26.9877163177472"/>
    <n v="54.520002280470401"/>
    <n v="12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4"/>
    <x v="3"/>
    <x v="1"/>
    <x v="1"/>
    <n v="49.399613290225197"/>
    <n v="2E+20"/>
    <n v="35.442750620857502"/>
    <n v="61.7344062843177"/>
    <n v="15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5"/>
    <x v="3"/>
    <x v="1"/>
    <x v="1"/>
    <n v="38.244117897627703"/>
    <n v="2E+20"/>
    <n v="31.341604233605501"/>
    <n v="44.504956337632002"/>
    <n v="9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6"/>
    <x v="3"/>
    <x v="1"/>
    <x v="1"/>
    <n v="51.074746769405202"/>
    <n v="2E+20"/>
    <n v="33.515017583489303"/>
    <n v="59.410250292522797"/>
    <n v="10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7"/>
    <x v="3"/>
    <x v="1"/>
    <x v="1"/>
    <n v="45.489478995609403"/>
    <n v="2E+20"/>
    <n v="34.685545023253503"/>
    <n v="70.098334317438997"/>
    <n v="10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8"/>
    <x v="3"/>
    <x v="1"/>
    <x v="1"/>
    <n v="42.118362859450997"/>
    <n v="2E+20"/>
    <n v="29.837281874740999"/>
    <n v="54.776396487699898"/>
    <n v="8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9"/>
    <x v="3"/>
    <x v="1"/>
    <x v="1"/>
    <n v="44.838596656828997"/>
    <n v="2E+20"/>
    <n v="32.211038356029697"/>
    <n v="55.064584049631399"/>
    <n v="12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10"/>
    <x v="3"/>
    <x v="1"/>
    <x v="1"/>
    <n v="59.445484583842699"/>
    <n v="2E+20"/>
    <n v="35.6132514460595"/>
    <n v="74.063595201744505"/>
    <n v="16"/>
    <s v="Unnamed ProjectTCiclo1NoneUser Specified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1"/>
    <x v="4"/>
    <x v="1"/>
    <x v="1"/>
    <n v="76.946426748085798"/>
    <n v="2E+20"/>
    <n v="48.615309865854599"/>
    <n v="119.281368492802"/>
    <n v="12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2"/>
    <x v="4"/>
    <x v="1"/>
    <x v="1"/>
    <n v="66.418115407512602"/>
    <n v="2E+20"/>
    <n v="48.318678842822301"/>
    <n v="118.601855556597"/>
    <n v="10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3"/>
    <x v="4"/>
    <x v="1"/>
    <x v="1"/>
    <n v="68.178236151727006"/>
    <n v="2E+20"/>
    <n v="51.366144228876998"/>
    <n v="99.724937227057197"/>
    <n v="8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4"/>
    <x v="4"/>
    <x v="1"/>
    <x v="1"/>
    <n v="69.602482889069094"/>
    <n v="2E+20"/>
    <n v="50.227802241007097"/>
    <n v="97.475723166312406"/>
    <n v="7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5"/>
    <x v="4"/>
    <x v="1"/>
    <x v="1"/>
    <n v="60.103381078758702"/>
    <n v="2E+20"/>
    <n v="43.060314991725399"/>
    <n v="79.353422663196596"/>
    <n v="9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6"/>
    <x v="4"/>
    <x v="1"/>
    <x v="1"/>
    <n v="75.979827869177001"/>
    <n v="2E+20"/>
    <n v="56.626986922865299"/>
    <n v="91.982974517808003"/>
    <n v="10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7"/>
    <x v="4"/>
    <x v="1"/>
    <x v="1"/>
    <n v="73.5635700526515"/>
    <n v="2E+20"/>
    <n v="50.768320688420097"/>
    <n v="98.998804684139699"/>
    <n v="9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8"/>
    <x v="4"/>
    <x v="1"/>
    <x v="1"/>
    <n v="70.549787555598996"/>
    <n v="2E+20"/>
    <n v="46.966856281960801"/>
    <n v="93.817977402565205"/>
    <n v="8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9"/>
    <x v="4"/>
    <x v="1"/>
    <x v="1"/>
    <n v="69.6527097544583"/>
    <n v="2E+20"/>
    <n v="49.619669076677901"/>
    <n v="83.747640065904605"/>
    <n v="9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10"/>
    <x v="4"/>
    <x v="1"/>
    <x v="1"/>
    <n v="70.360356364047803"/>
    <n v="2E+20"/>
    <n v="50.474216724447402"/>
    <n v="102.160122612164"/>
    <n v="9"/>
    <s v="Unnamed ProjectTCiclo2NoneUser Specified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1"/>
    <x v="5"/>
    <x v="1"/>
    <x v="1"/>
    <n v="45.030842375200301"/>
    <n v="2E+20"/>
    <n v="27.274994270016201"/>
    <n v="78.499597813463097"/>
    <n v="8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2"/>
    <x v="5"/>
    <x v="1"/>
    <x v="1"/>
    <n v="45.884775425524097"/>
    <n v="2E+20"/>
    <n v="31.779266697234199"/>
    <n v="59.258896985915001"/>
    <n v="14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3"/>
    <x v="5"/>
    <x v="1"/>
    <x v="1"/>
    <n v="33.521703094146403"/>
    <n v="2E+20"/>
    <n v="29.293027386722301"/>
    <n v="44.372408001904397"/>
    <n v="10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4"/>
    <x v="5"/>
    <x v="1"/>
    <x v="1"/>
    <n v="38.296529258044004"/>
    <n v="2E+20"/>
    <n v="28.794312501509602"/>
    <n v="58.179445421342798"/>
    <n v="10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5"/>
    <x v="5"/>
    <x v="1"/>
    <x v="1"/>
    <n v="35.5426263520528"/>
    <n v="2E+20"/>
    <n v="27.919642656243401"/>
    <n v="46.457411341366203"/>
    <n v="12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6"/>
    <x v="5"/>
    <x v="1"/>
    <x v="1"/>
    <n v="50.608944787418999"/>
    <n v="2E+20"/>
    <n v="26.342298132756898"/>
    <n v="77.265719463960593"/>
    <n v="13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7"/>
    <x v="5"/>
    <x v="1"/>
    <x v="1"/>
    <n v="39.165607025648796"/>
    <n v="2E+20"/>
    <n v="29.531920896885001"/>
    <n v="50.876929085233499"/>
    <n v="12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8"/>
    <x v="5"/>
    <x v="1"/>
    <x v="1"/>
    <n v="53.188885435375902"/>
    <n v="2E+20"/>
    <n v="37.071623824875502"/>
    <n v="67.7734394757898"/>
    <n v="13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9"/>
    <x v="5"/>
    <x v="1"/>
    <x v="1"/>
    <n v="36.744302882510802"/>
    <n v="2E+20"/>
    <n v="24.599315398531001"/>
    <n v="65.679122643966096"/>
    <n v="10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10"/>
    <x v="5"/>
    <x v="1"/>
    <x v="1"/>
    <n v="36.818236382697798"/>
    <n v="2E+20"/>
    <n v="26.725129481114099"/>
    <n v="54.007834102682303"/>
    <n v="8"/>
    <s v="Unnamed ProjectTCiclo3NoneUser Specified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1"/>
    <x v="6"/>
    <x v="1"/>
    <x v="1"/>
    <n v="57.852123951402099"/>
    <n v="2E+20"/>
    <n v="33.843201795533702"/>
    <n v="94.196845554717797"/>
    <n v="12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2"/>
    <x v="6"/>
    <x v="1"/>
    <x v="1"/>
    <n v="45.086861905457503"/>
    <n v="2E+20"/>
    <n v="34.051865766180299"/>
    <n v="59.570387894475999"/>
    <n v="10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3"/>
    <x v="6"/>
    <x v="1"/>
    <x v="1"/>
    <n v="48.125146290260403"/>
    <n v="2E+20"/>
    <n v="32.4686687610508"/>
    <n v="87.128502541094093"/>
    <n v="12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4"/>
    <x v="6"/>
    <x v="1"/>
    <x v="1"/>
    <n v="53.732529548833099"/>
    <n v="2E+20"/>
    <n v="35.898534997393803"/>
    <n v="75.250903188082006"/>
    <n v="11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5"/>
    <x v="6"/>
    <x v="1"/>
    <x v="1"/>
    <n v="43.836381030600201"/>
    <n v="2E+20"/>
    <n v="33.553023236499001"/>
    <n v="67.917561426639296"/>
    <n v="14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6"/>
    <x v="6"/>
    <x v="1"/>
    <x v="1"/>
    <n v="46.785301354134099"/>
    <n v="2E+20"/>
    <n v="30.9310144170956"/>
    <n v="74.052567635113206"/>
    <n v="8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7"/>
    <x v="6"/>
    <x v="1"/>
    <x v="1"/>
    <n v="43.309307456693901"/>
    <n v="2E+20"/>
    <n v="33.372364645818401"/>
    <n v="61.036332343549098"/>
    <n v="10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8"/>
    <x v="6"/>
    <x v="1"/>
    <x v="1"/>
    <n v="56.7378475018823"/>
    <n v="2E+20"/>
    <n v="36.562204124257697"/>
    <n v="96.993071741156299"/>
    <n v="14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9"/>
    <x v="6"/>
    <x v="1"/>
    <x v="1"/>
    <n v="56.431695557412802"/>
    <n v="2E+20"/>
    <n v="35.123754584928101"/>
    <n v="77.777697900936801"/>
    <n v="12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10"/>
    <x v="6"/>
    <x v="1"/>
    <x v="1"/>
    <n v="53.905373591095497"/>
    <n v="2E+20"/>
    <n v="33.084702377688899"/>
    <n v="74.600760097779002"/>
    <n v="11"/>
    <s v="Unnamed ProjectTCiclo4NoneUser Specified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1"/>
    <x v="7"/>
    <x v="2"/>
    <x v="2"/>
    <n v="0"/>
    <n v="2E+20"/>
    <n v="0"/>
    <n v="0"/>
    <n v="10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1"/>
    <x v="7"/>
    <x v="3"/>
    <x v="2"/>
    <n v="0"/>
    <n v="2E+20"/>
    <n v="0"/>
    <n v="0"/>
    <n v="10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1"/>
    <x v="7"/>
    <x v="4"/>
    <x v="2"/>
    <n v="46.426608565997903"/>
    <n v="2E+20"/>
    <n v="28.5887394475752"/>
    <n v="62.855772453280601"/>
    <n v="10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1"/>
    <x v="7"/>
    <x v="5"/>
    <x v="2"/>
    <n v="9"/>
    <n v="2E+20"/>
    <n v="9"/>
    <n v="9.0000000000000107"/>
    <n v="10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1"/>
    <x v="7"/>
    <x v="6"/>
    <x v="2"/>
    <n v="24.203443145085402"/>
    <n v="2E+20"/>
    <n v="19.5887394475752"/>
    <n v="30.287744826019001"/>
    <n v="10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1"/>
    <x v="7"/>
    <x v="7"/>
    <x v="2"/>
    <n v="13.223165420912499"/>
    <n v="2E+20"/>
    <n v="0"/>
    <n v="31.8092576983051"/>
    <n v="10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2"/>
    <x v="7"/>
    <x v="2"/>
    <x v="2"/>
    <n v="0"/>
    <n v="2E+20"/>
    <n v="0"/>
    <n v="0"/>
    <n v="9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2"/>
    <x v="7"/>
    <x v="3"/>
    <x v="2"/>
    <n v="0"/>
    <n v="2E+20"/>
    <n v="0"/>
    <n v="0"/>
    <n v="9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2"/>
    <x v="7"/>
    <x v="4"/>
    <x v="2"/>
    <n v="48.9877900049798"/>
    <n v="2E+20"/>
    <n v="38.5569243398091"/>
    <n v="67.764376104860801"/>
    <n v="9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2"/>
    <x v="7"/>
    <x v="5"/>
    <x v="2"/>
    <n v="9"/>
    <n v="2E+20"/>
    <n v="9"/>
    <n v="9"/>
    <n v="9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2"/>
    <x v="7"/>
    <x v="6"/>
    <x v="2"/>
    <n v="23.993683321745198"/>
    <n v="2E+20"/>
    <n v="15.9300898616747"/>
    <n v="33.587062429408903"/>
    <n v="9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2"/>
    <x v="7"/>
    <x v="7"/>
    <x v="2"/>
    <n v="15.9941066832346"/>
    <n v="2E+20"/>
    <n v="0"/>
    <n v="33.350372750781197"/>
    <n v="9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3"/>
    <x v="7"/>
    <x v="2"/>
    <x v="2"/>
    <n v="0"/>
    <n v="2E+20"/>
    <n v="0"/>
    <n v="0"/>
    <n v="12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3"/>
    <x v="7"/>
    <x v="3"/>
    <x v="2"/>
    <n v="0"/>
    <n v="2E+20"/>
    <n v="0"/>
    <n v="0"/>
    <n v="12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3"/>
    <x v="7"/>
    <x v="4"/>
    <x v="2"/>
    <n v="41.8020767177171"/>
    <n v="2E+20"/>
    <n v="26.9877163177472"/>
    <n v="54.520002280470401"/>
    <n v="12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3"/>
    <x v="7"/>
    <x v="5"/>
    <x v="2"/>
    <n v="9"/>
    <n v="2E+20"/>
    <n v="9"/>
    <n v="9"/>
    <n v="12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3"/>
    <x v="7"/>
    <x v="6"/>
    <x v="2"/>
    <n v="22.860378501571599"/>
    <n v="2E+20"/>
    <n v="17.9877163177472"/>
    <n v="29.9811699837113"/>
    <n v="12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3"/>
    <x v="7"/>
    <x v="7"/>
    <x v="2"/>
    <n v="9.9416982161454399"/>
    <n v="2E+20"/>
    <n v="0"/>
    <n v="24.133474403908401"/>
    <n v="12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4"/>
    <x v="7"/>
    <x v="2"/>
    <x v="2"/>
    <n v="0"/>
    <n v="2E+20"/>
    <n v="0"/>
    <n v="0"/>
    <n v="15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4"/>
    <x v="7"/>
    <x v="3"/>
    <x v="2"/>
    <n v="0"/>
    <n v="2E+20"/>
    <n v="0"/>
    <n v="0"/>
    <n v="15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4"/>
    <x v="7"/>
    <x v="4"/>
    <x v="2"/>
    <n v="49.399613290225197"/>
    <n v="2E+20"/>
    <n v="35.442750620857502"/>
    <n v="61.7344062843177"/>
    <n v="15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4"/>
    <x v="7"/>
    <x v="5"/>
    <x v="2"/>
    <n v="9"/>
    <n v="2E+20"/>
    <n v="9"/>
    <n v="9"/>
    <n v="15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4"/>
    <x v="7"/>
    <x v="6"/>
    <x v="2"/>
    <n v="23.981539542296801"/>
    <n v="2E+20"/>
    <n v="18.968766576657401"/>
    <n v="30.330253730364301"/>
    <n v="15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4"/>
    <x v="7"/>
    <x v="7"/>
    <x v="2"/>
    <n v="16.4180737479284"/>
    <n v="2E+20"/>
    <n v="4.1925561471283999"/>
    <n v="33.765639707660199"/>
    <n v="15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5"/>
    <x v="7"/>
    <x v="2"/>
    <x v="2"/>
    <n v="0"/>
    <n v="2E+20"/>
    <n v="0"/>
    <n v="0"/>
    <n v="9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5"/>
    <x v="7"/>
    <x v="3"/>
    <x v="2"/>
    <n v="0"/>
    <n v="2E+20"/>
    <n v="0"/>
    <n v="0"/>
    <n v="9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5"/>
    <x v="7"/>
    <x v="4"/>
    <x v="2"/>
    <n v="38.244117897627703"/>
    <n v="2E+20"/>
    <n v="31.341604233605501"/>
    <n v="44.504956337632002"/>
    <n v="9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5"/>
    <x v="7"/>
    <x v="5"/>
    <x v="2"/>
    <n v="9"/>
    <n v="2E+20"/>
    <n v="9"/>
    <n v="9"/>
    <n v="9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5"/>
    <x v="7"/>
    <x v="6"/>
    <x v="2"/>
    <n v="23.6467632082149"/>
    <n v="2E+20"/>
    <n v="15.872265803761399"/>
    <n v="30.782421259372398"/>
    <n v="9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5"/>
    <x v="7"/>
    <x v="7"/>
    <x v="2"/>
    <n v="5.5973546894127502"/>
    <n v="2E+20"/>
    <n v="0.28768593987598501"/>
    <n v="12.230051607229701"/>
    <n v="9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6"/>
    <x v="7"/>
    <x v="2"/>
    <x v="2"/>
    <n v="0"/>
    <n v="2E+20"/>
    <n v="0"/>
    <n v="0"/>
    <n v="10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6"/>
    <x v="7"/>
    <x v="3"/>
    <x v="2"/>
    <n v="0"/>
    <n v="2E+20"/>
    <n v="0"/>
    <n v="0"/>
    <n v="10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6"/>
    <x v="7"/>
    <x v="4"/>
    <x v="2"/>
    <n v="51.074746769405202"/>
    <n v="2E+20"/>
    <n v="33.515017583489303"/>
    <n v="59.410250292522797"/>
    <n v="10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6"/>
    <x v="7"/>
    <x v="5"/>
    <x v="2"/>
    <n v="9"/>
    <n v="2E+20"/>
    <n v="9"/>
    <n v="9"/>
    <n v="10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6"/>
    <x v="7"/>
    <x v="6"/>
    <x v="2"/>
    <n v="24.716015525252502"/>
    <n v="2E+20"/>
    <n v="18.212575839770501"/>
    <n v="30.5290824353415"/>
    <n v="10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6"/>
    <x v="7"/>
    <x v="7"/>
    <x v="2"/>
    <n v="17.3587312441527"/>
    <n v="2E+20"/>
    <n v="0"/>
    <n v="27.1955518878775"/>
    <n v="10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7"/>
    <x v="7"/>
    <x v="2"/>
    <x v="2"/>
    <n v="0"/>
    <n v="2E+20"/>
    <n v="0"/>
    <n v="0"/>
    <n v="10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7"/>
    <x v="7"/>
    <x v="3"/>
    <x v="2"/>
    <n v="0"/>
    <n v="2E+20"/>
    <n v="0"/>
    <n v="0"/>
    <n v="10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7"/>
    <x v="7"/>
    <x v="4"/>
    <x v="2"/>
    <n v="45.489478995609403"/>
    <n v="2E+20"/>
    <n v="34.685545023253503"/>
    <n v="70.098334317438997"/>
    <n v="10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7"/>
    <x v="7"/>
    <x v="5"/>
    <x v="2"/>
    <n v="9"/>
    <n v="2E+20"/>
    <n v="9"/>
    <n v="9"/>
    <n v="10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7"/>
    <x v="7"/>
    <x v="6"/>
    <x v="2"/>
    <n v="25.037450103809601"/>
    <n v="2E+20"/>
    <n v="21.0798411530462"/>
    <n v="30.244043421259398"/>
    <n v="10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7"/>
    <x v="7"/>
    <x v="7"/>
    <x v="2"/>
    <n v="11.452028891799801"/>
    <n v="2E+20"/>
    <n v="0"/>
    <n v="30.854290896179599"/>
    <n v="10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8"/>
    <x v="7"/>
    <x v="2"/>
    <x v="2"/>
    <n v="0"/>
    <n v="2E+20"/>
    <n v="0"/>
    <n v="0"/>
    <n v="8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8"/>
    <x v="7"/>
    <x v="3"/>
    <x v="2"/>
    <n v="0"/>
    <n v="2E+20"/>
    <n v="0"/>
    <n v="0"/>
    <n v="8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8"/>
    <x v="7"/>
    <x v="4"/>
    <x v="2"/>
    <n v="42.118362859450997"/>
    <n v="2E+20"/>
    <n v="29.837281874740999"/>
    <n v="54.776396487699898"/>
    <n v="8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8"/>
    <x v="7"/>
    <x v="5"/>
    <x v="2"/>
    <n v="9"/>
    <n v="2E+20"/>
    <n v="9"/>
    <n v="9"/>
    <n v="8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8"/>
    <x v="7"/>
    <x v="6"/>
    <x v="2"/>
    <n v="23.234498839209099"/>
    <n v="2E+20"/>
    <n v="15.4230820302512"/>
    <n v="33.7961547858594"/>
    <n v="8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8"/>
    <x v="7"/>
    <x v="7"/>
    <x v="2"/>
    <n v="9.8838640202419406"/>
    <n v="2E+20"/>
    <n v="0"/>
    <n v="21.828237942161401"/>
    <n v="8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9"/>
    <x v="7"/>
    <x v="2"/>
    <x v="2"/>
    <n v="0"/>
    <n v="2E+20"/>
    <n v="0"/>
    <n v="0"/>
    <n v="12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9"/>
    <x v="7"/>
    <x v="3"/>
    <x v="2"/>
    <n v="0"/>
    <n v="2E+20"/>
    <n v="0"/>
    <n v="0"/>
    <n v="12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9"/>
    <x v="7"/>
    <x v="4"/>
    <x v="2"/>
    <n v="44.838596656828997"/>
    <n v="2E+20"/>
    <n v="32.211038356029697"/>
    <n v="55.064584049631399"/>
    <n v="12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9"/>
    <x v="7"/>
    <x v="5"/>
    <x v="2"/>
    <n v="9"/>
    <n v="2E+20"/>
    <n v="9"/>
    <n v="9"/>
    <n v="12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9"/>
    <x v="7"/>
    <x v="6"/>
    <x v="2"/>
    <n v="21.581816415042301"/>
    <n v="2E+20"/>
    <n v="14.998916247217"/>
    <n v="27.8525645689041"/>
    <n v="12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9"/>
    <x v="7"/>
    <x v="7"/>
    <x v="2"/>
    <n v="14.256780241786601"/>
    <n v="2E+20"/>
    <n v="3.6069530258207698"/>
    <n v="24.1598505665979"/>
    <n v="12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10"/>
    <x v="7"/>
    <x v="2"/>
    <x v="2"/>
    <n v="0"/>
    <n v="2E+20"/>
    <n v="0"/>
    <n v="0"/>
    <n v="16"/>
    <s v="Unnamed ProjectType1NVA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10"/>
    <x v="7"/>
    <x v="3"/>
    <x v="2"/>
    <n v="0"/>
    <n v="2E+20"/>
    <n v="0"/>
    <n v="0"/>
    <n v="16"/>
    <s v="Unnamed ProjectType1Other TimeEntity"/>
    <n v="10"/>
    <n v="0"/>
    <n v="0"/>
    <n v="0.95"/>
    <n v="0"/>
    <n v="0"/>
    <n v="0"/>
    <n v="0"/>
    <n v="0"/>
    <n v="11.1"/>
    <n v="0"/>
    <n v="10"/>
    <n v="1"/>
  </r>
  <r>
    <x v="0"/>
    <s v="2023-05-02 18:47:03"/>
    <n v="10"/>
    <x v="7"/>
    <x v="4"/>
    <x v="2"/>
    <n v="59.445484583842699"/>
    <n v="2E+20"/>
    <n v="35.6132514460595"/>
    <n v="74.063595201744505"/>
    <n v="16"/>
    <s v="Unnamed ProjectType1Total TimeEntity"/>
    <n v="10"/>
    <n v="46.782687634168497"/>
    <n v="5.9210287115671854"/>
    <n v="0.95"/>
    <n v="4.2356487792701722"/>
    <n v="38.244117897627703"/>
    <n v="59.445484583842699"/>
    <n v="26.9877163177472"/>
    <n v="74.063595201744505"/>
    <n v="11.1"/>
    <n v="4.2356487792701722"/>
    <n v="10"/>
    <n v="1"/>
  </r>
  <r>
    <x v="0"/>
    <s v="2023-05-02 18:47:03"/>
    <n v="10"/>
    <x v="7"/>
    <x v="5"/>
    <x v="2"/>
    <n v="9"/>
    <n v="2E+20"/>
    <n v="9"/>
    <n v="9"/>
    <n v="16"/>
    <s v="Unnamed ProjectType1Transfer TimeEntity"/>
    <n v="10"/>
    <n v="9"/>
    <n v="0"/>
    <n v="0.95"/>
    <n v="0"/>
    <n v="9"/>
    <n v="9"/>
    <n v="9"/>
    <n v="9.0000000000000107"/>
    <n v="11.1"/>
    <n v="0"/>
    <n v="10"/>
    <n v="1"/>
  </r>
  <r>
    <x v="0"/>
    <s v="2023-05-02 18:47:03"/>
    <n v="10"/>
    <x v="7"/>
    <x v="6"/>
    <x v="2"/>
    <n v="24.495064849445701"/>
    <n v="2E+20"/>
    <n v="18.3538918465592"/>
    <n v="30.297755268353001"/>
    <n v="16"/>
    <s v="Unnamed ProjectType1VA TimeEntity"/>
    <n v="10"/>
    <n v="23.77506534516731"/>
    <n v="1.0125326462058606"/>
    <n v="0.95"/>
    <n v="0.72432222098411403"/>
    <n v="21.581816415042301"/>
    <n v="25.037450103809601"/>
    <n v="14.998916247217"/>
    <n v="33.7961547858594"/>
    <n v="11.1"/>
    <n v="0.72432222098411403"/>
    <n v="10"/>
    <n v="1"/>
  </r>
  <r>
    <x v="0"/>
    <s v="2023-05-02 18:47:03"/>
    <n v="10"/>
    <x v="7"/>
    <x v="7"/>
    <x v="2"/>
    <n v="25.950419734396998"/>
    <n v="2E+20"/>
    <n v="3.49120612054173"/>
    <n v="41.275755192244297"/>
    <n v="16"/>
    <s v="Unnamed ProjectType1Wait TimeEntity"/>
    <n v="10"/>
    <n v="14.007622289001173"/>
    <n v="5.5286623892890034"/>
    <n v="0.95"/>
    <n v="3.9549668209581639"/>
    <n v="5.5973546894127502"/>
    <n v="25.950419734396998"/>
    <n v="0"/>
    <n v="41.275755192244297"/>
    <n v="11.1"/>
    <n v="3.9549668209581639"/>
    <n v="10"/>
    <n v="1"/>
  </r>
  <r>
    <x v="0"/>
    <s v="2023-05-02 18:47:03"/>
    <n v="1"/>
    <x v="8"/>
    <x v="2"/>
    <x v="2"/>
    <n v="0"/>
    <n v="2E+20"/>
    <n v="0"/>
    <n v="0"/>
    <n v="12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1"/>
    <x v="8"/>
    <x v="3"/>
    <x v="2"/>
    <n v="0"/>
    <n v="2E+20"/>
    <n v="0"/>
    <n v="0"/>
    <n v="12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1"/>
    <x v="8"/>
    <x v="4"/>
    <x v="2"/>
    <n v="76.946426748085798"/>
    <n v="2E+20"/>
    <n v="48.615309865854599"/>
    <n v="119.281368492802"/>
    <n v="12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1"/>
    <x v="8"/>
    <x v="5"/>
    <x v="2"/>
    <n v="12"/>
    <n v="2E+20"/>
    <n v="12"/>
    <n v="12"/>
    <n v="12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1"/>
    <x v="8"/>
    <x v="6"/>
    <x v="2"/>
    <n v="38.070291504247201"/>
    <n v="2E+20"/>
    <n v="30.4599224050672"/>
    <n v="52.547838842594999"/>
    <n v="12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1"/>
    <x v="8"/>
    <x v="7"/>
    <x v="2"/>
    <n v="26.8761352438387"/>
    <n v="2E+20"/>
    <n v="4.31679945231713"/>
    <n v="63.802690485096399"/>
    <n v="12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2"/>
    <x v="8"/>
    <x v="2"/>
    <x v="2"/>
    <n v="0"/>
    <n v="2E+20"/>
    <n v="0"/>
    <n v="0"/>
    <n v="10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2"/>
    <x v="8"/>
    <x v="3"/>
    <x v="2"/>
    <n v="0"/>
    <n v="2E+20"/>
    <n v="0"/>
    <n v="0"/>
    <n v="10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2"/>
    <x v="8"/>
    <x v="4"/>
    <x v="2"/>
    <n v="66.418115407512602"/>
    <n v="2E+20"/>
    <n v="48.318678842822301"/>
    <n v="118.601855556597"/>
    <n v="10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2"/>
    <x v="8"/>
    <x v="5"/>
    <x v="2"/>
    <n v="12"/>
    <n v="2E+20"/>
    <n v="12"/>
    <n v="12"/>
    <n v="10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2"/>
    <x v="8"/>
    <x v="6"/>
    <x v="2"/>
    <n v="35.500096543718499"/>
    <n v="2E+20"/>
    <n v="25.3401743969536"/>
    <n v="41.403884363715001"/>
    <n v="10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2"/>
    <x v="8"/>
    <x v="7"/>
    <x v="2"/>
    <n v="18.918018863794199"/>
    <n v="2E+20"/>
    <n v="0"/>
    <n v="68.091856714806795"/>
    <n v="10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3"/>
    <x v="8"/>
    <x v="2"/>
    <x v="2"/>
    <n v="0"/>
    <n v="2E+20"/>
    <n v="0"/>
    <n v="0"/>
    <n v="8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3"/>
    <x v="8"/>
    <x v="3"/>
    <x v="2"/>
    <n v="0"/>
    <n v="2E+20"/>
    <n v="0"/>
    <n v="0"/>
    <n v="8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3"/>
    <x v="8"/>
    <x v="4"/>
    <x v="2"/>
    <n v="68.178236151727006"/>
    <n v="2E+20"/>
    <n v="51.366144228876998"/>
    <n v="99.724937227057197"/>
    <n v="8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3"/>
    <x v="8"/>
    <x v="5"/>
    <x v="2"/>
    <n v="12"/>
    <n v="2E+20"/>
    <n v="12"/>
    <n v="12"/>
    <n v="8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3"/>
    <x v="8"/>
    <x v="6"/>
    <x v="2"/>
    <n v="36.620500460430399"/>
    <n v="2E+20"/>
    <n v="31.293108723009901"/>
    <n v="42.894467208623503"/>
    <n v="8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3"/>
    <x v="8"/>
    <x v="7"/>
    <x v="2"/>
    <n v="19.5577356912966"/>
    <n v="2E+20"/>
    <n v="1.9070879231690601"/>
    <n v="44.830470018433701"/>
    <n v="8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4"/>
    <x v="8"/>
    <x v="2"/>
    <x v="2"/>
    <n v="0"/>
    <n v="2E+20"/>
    <n v="0"/>
    <n v="0"/>
    <n v="7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4"/>
    <x v="8"/>
    <x v="3"/>
    <x v="2"/>
    <n v="0"/>
    <n v="2E+20"/>
    <n v="0"/>
    <n v="0"/>
    <n v="7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4"/>
    <x v="8"/>
    <x v="4"/>
    <x v="2"/>
    <n v="69.602482889069094"/>
    <n v="2E+20"/>
    <n v="50.227802241007097"/>
    <n v="97.475723166312406"/>
    <n v="7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4"/>
    <x v="8"/>
    <x v="5"/>
    <x v="2"/>
    <n v="12"/>
    <n v="2E+20"/>
    <n v="12"/>
    <n v="12"/>
    <n v="7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4"/>
    <x v="8"/>
    <x v="6"/>
    <x v="2"/>
    <n v="37.610337529632403"/>
    <n v="2E+20"/>
    <n v="26.0337671107423"/>
    <n v="46.324822362098999"/>
    <n v="7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4"/>
    <x v="8"/>
    <x v="7"/>
    <x v="2"/>
    <n v="19.992145359436702"/>
    <n v="2E+20"/>
    <n v="0"/>
    <n v="47.636752960365797"/>
    <n v="7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5"/>
    <x v="8"/>
    <x v="2"/>
    <x v="2"/>
    <n v="0"/>
    <n v="2E+20"/>
    <n v="0"/>
    <n v="0"/>
    <n v="9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5"/>
    <x v="8"/>
    <x v="3"/>
    <x v="2"/>
    <n v="0"/>
    <n v="2E+20"/>
    <n v="0"/>
    <n v="0"/>
    <n v="9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5"/>
    <x v="8"/>
    <x v="4"/>
    <x v="2"/>
    <n v="60.103381078758702"/>
    <n v="2E+20"/>
    <n v="43.060314991725399"/>
    <n v="79.353422663196596"/>
    <n v="9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5"/>
    <x v="8"/>
    <x v="5"/>
    <x v="2"/>
    <n v="12"/>
    <n v="2E+20"/>
    <n v="12"/>
    <n v="12"/>
    <n v="9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5"/>
    <x v="8"/>
    <x v="6"/>
    <x v="2"/>
    <n v="34.454913680466298"/>
    <n v="2E+20"/>
    <n v="29.906918452001001"/>
    <n v="41.7751245197787"/>
    <n v="9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5"/>
    <x v="8"/>
    <x v="7"/>
    <x v="2"/>
    <n v="13.6484673982924"/>
    <n v="2E+20"/>
    <n v="0"/>
    <n v="27.072147600277798"/>
    <n v="9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6"/>
    <x v="8"/>
    <x v="2"/>
    <x v="2"/>
    <n v="0"/>
    <n v="2E+20"/>
    <n v="0"/>
    <n v="0"/>
    <n v="10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6"/>
    <x v="8"/>
    <x v="3"/>
    <x v="2"/>
    <n v="0"/>
    <n v="2E+20"/>
    <n v="0"/>
    <n v="0"/>
    <n v="10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6"/>
    <x v="8"/>
    <x v="4"/>
    <x v="2"/>
    <n v="75.979827869177001"/>
    <n v="2E+20"/>
    <n v="56.626986922865299"/>
    <n v="91.982974517808003"/>
    <n v="10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6"/>
    <x v="8"/>
    <x v="5"/>
    <x v="2"/>
    <n v="12"/>
    <n v="2E+20"/>
    <n v="12"/>
    <n v="12"/>
    <n v="10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6"/>
    <x v="8"/>
    <x v="6"/>
    <x v="2"/>
    <n v="36.324052959151402"/>
    <n v="2E+20"/>
    <n v="28.379415255508999"/>
    <n v="45.1671167856029"/>
    <n v="10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6"/>
    <x v="8"/>
    <x v="7"/>
    <x v="2"/>
    <n v="27.655774910025599"/>
    <n v="2E+20"/>
    <n v="4.4669319441764701"/>
    <n v="45.6865238694105"/>
    <n v="10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7"/>
    <x v="8"/>
    <x v="2"/>
    <x v="2"/>
    <n v="0"/>
    <n v="2E+20"/>
    <n v="0"/>
    <n v="0"/>
    <n v="9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7"/>
    <x v="8"/>
    <x v="3"/>
    <x v="2"/>
    <n v="0"/>
    <n v="2E+20"/>
    <n v="0"/>
    <n v="0"/>
    <n v="9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7"/>
    <x v="8"/>
    <x v="4"/>
    <x v="2"/>
    <n v="73.5635700526515"/>
    <n v="2E+20"/>
    <n v="50.768320688420097"/>
    <n v="98.998804684139699"/>
    <n v="9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7"/>
    <x v="8"/>
    <x v="5"/>
    <x v="2"/>
    <n v="12"/>
    <n v="2E+20"/>
    <n v="12"/>
    <n v="12"/>
    <n v="9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7"/>
    <x v="8"/>
    <x v="6"/>
    <x v="2"/>
    <n v="37.176173196235197"/>
    <n v="2E+20"/>
    <n v="33.626778488164099"/>
    <n v="43.784983007715297"/>
    <n v="9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7"/>
    <x v="8"/>
    <x v="7"/>
    <x v="2"/>
    <n v="24.387396856416199"/>
    <n v="2E+20"/>
    <n v="5.1415422002560298"/>
    <n v="47.578386243518601"/>
    <n v="9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8"/>
    <x v="8"/>
    <x v="2"/>
    <x v="2"/>
    <n v="0"/>
    <n v="2E+20"/>
    <n v="0"/>
    <n v="0"/>
    <n v="8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8"/>
    <x v="8"/>
    <x v="3"/>
    <x v="2"/>
    <n v="0"/>
    <n v="2E+20"/>
    <n v="0"/>
    <n v="0"/>
    <n v="8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8"/>
    <x v="8"/>
    <x v="4"/>
    <x v="2"/>
    <n v="70.549787555598996"/>
    <n v="2E+20"/>
    <n v="46.966856281960801"/>
    <n v="93.817977402565205"/>
    <n v="8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8"/>
    <x v="8"/>
    <x v="5"/>
    <x v="2"/>
    <n v="12"/>
    <n v="2E+20"/>
    <n v="12"/>
    <n v="12"/>
    <n v="8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8"/>
    <x v="8"/>
    <x v="6"/>
    <x v="2"/>
    <n v="37.633992048653298"/>
    <n v="2E+20"/>
    <n v="25.930229210364502"/>
    <n v="46.289112942532903"/>
    <n v="8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8"/>
    <x v="8"/>
    <x v="7"/>
    <x v="2"/>
    <n v="20.915795506945699"/>
    <n v="2E+20"/>
    <n v="0"/>
    <n v="38.202867985292897"/>
    <n v="8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9"/>
    <x v="8"/>
    <x v="2"/>
    <x v="2"/>
    <n v="0"/>
    <n v="2E+20"/>
    <n v="0"/>
    <n v="0"/>
    <n v="9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9"/>
    <x v="8"/>
    <x v="3"/>
    <x v="2"/>
    <n v="0"/>
    <n v="2E+20"/>
    <n v="0"/>
    <n v="0"/>
    <n v="9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9"/>
    <x v="8"/>
    <x v="4"/>
    <x v="2"/>
    <n v="69.6527097544583"/>
    <n v="2E+20"/>
    <n v="49.619669076677901"/>
    <n v="83.747640065904605"/>
    <n v="9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9"/>
    <x v="8"/>
    <x v="5"/>
    <x v="2"/>
    <n v="12"/>
    <n v="2E+20"/>
    <n v="12"/>
    <n v="12"/>
    <n v="9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9"/>
    <x v="8"/>
    <x v="6"/>
    <x v="2"/>
    <n v="37.125016403396202"/>
    <n v="2E+20"/>
    <n v="30.417924927175498"/>
    <n v="40.545195578582401"/>
    <n v="9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9"/>
    <x v="8"/>
    <x v="7"/>
    <x v="2"/>
    <n v="20.527693351062101"/>
    <n v="2E+20"/>
    <n v="2.9217115270639802"/>
    <n v="33.188426733590497"/>
    <n v="9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10"/>
    <x v="8"/>
    <x v="2"/>
    <x v="2"/>
    <n v="0"/>
    <n v="2E+20"/>
    <n v="0"/>
    <n v="0"/>
    <n v="9"/>
    <s v="Unnamed ProjectType2NVA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10"/>
    <x v="8"/>
    <x v="3"/>
    <x v="2"/>
    <n v="0"/>
    <n v="2E+20"/>
    <n v="0"/>
    <n v="0"/>
    <n v="9"/>
    <s v="Unnamed ProjectType2Other TimeEntity"/>
    <n v="10"/>
    <n v="0"/>
    <n v="0"/>
    <n v="0.95"/>
    <n v="0"/>
    <n v="0"/>
    <n v="0"/>
    <n v="0"/>
    <n v="0"/>
    <n v="9.1"/>
    <n v="0"/>
    <n v="10"/>
    <n v="1"/>
  </r>
  <r>
    <x v="0"/>
    <s v="2023-05-02 18:47:03"/>
    <n v="10"/>
    <x v="8"/>
    <x v="4"/>
    <x v="2"/>
    <n v="70.360356364047803"/>
    <n v="2E+20"/>
    <n v="50.474216724447402"/>
    <n v="102.160122612164"/>
    <n v="9"/>
    <s v="Unnamed ProjectType2Total TimeEntity"/>
    <n v="10"/>
    <n v="70.135489387108677"/>
    <n v="4.8457218697418316"/>
    <n v="0.95"/>
    <n v="3.4664206039329009"/>
    <n v="60.103381078758702"/>
    <n v="76.946426748085798"/>
    <n v="43.060314991725399"/>
    <n v="119.281368492802"/>
    <n v="9.1"/>
    <n v="3.4664206039329009"/>
    <n v="10"/>
    <n v="1"/>
  </r>
  <r>
    <x v="0"/>
    <s v="2023-05-02 18:47:03"/>
    <n v="10"/>
    <x v="8"/>
    <x v="5"/>
    <x v="2"/>
    <n v="12"/>
    <n v="2E+20"/>
    <n v="12"/>
    <n v="12"/>
    <n v="9"/>
    <s v="Unnamed ProjectType2Transfer TimeEntity"/>
    <n v="10"/>
    <n v="12"/>
    <n v="0"/>
    <n v="0.95"/>
    <n v="0"/>
    <n v="12"/>
    <n v="12"/>
    <n v="12"/>
    <n v="12"/>
    <n v="9.1"/>
    <n v="0"/>
    <n v="10"/>
    <n v="1"/>
  </r>
  <r>
    <x v="0"/>
    <s v="2023-05-02 18:47:03"/>
    <n v="10"/>
    <x v="8"/>
    <x v="6"/>
    <x v="2"/>
    <n v="34.827591036774599"/>
    <n v="2E+20"/>
    <n v="28.646852640288898"/>
    <n v="39.8179214313244"/>
    <n v="9"/>
    <s v="Unnamed ProjectType2VA TimeEntity"/>
    <n v="10"/>
    <n v="36.534296536270553"/>
    <n v="1.2403095677603713"/>
    <n v="0.95"/>
    <n v="0.88726401483887163"/>
    <n v="34.454913680466298"/>
    <n v="38.070291504247201"/>
    <n v="25.3401743969536"/>
    <n v="52.547838842594999"/>
    <n v="9.1"/>
    <n v="0.88726401483887163"/>
    <n v="10"/>
    <n v="1"/>
  </r>
  <r>
    <x v="0"/>
    <s v="2023-05-02 18:47:03"/>
    <n v="10"/>
    <x v="8"/>
    <x v="7"/>
    <x v="2"/>
    <n v="23.5327653272732"/>
    <n v="2E+20"/>
    <n v="0"/>
    <n v="61.513269971875303"/>
    <n v="9"/>
    <s v="Unnamed ProjectType2Wait TimeEntity"/>
    <n v="10"/>
    <n v="21.601192850838142"/>
    <n v="4.1474098022359787"/>
    <n v="0.95"/>
    <n v="2.9668782439199362"/>
    <n v="13.6484673982924"/>
    <n v="27.655774910025599"/>
    <n v="0"/>
    <n v="68.091856714806795"/>
    <n v="9.1"/>
    <n v="2.9668782439199362"/>
    <n v="10"/>
    <n v="1"/>
  </r>
  <r>
    <x v="0"/>
    <s v="2023-05-02 18:47:03"/>
    <n v="1"/>
    <x v="9"/>
    <x v="2"/>
    <x v="2"/>
    <n v="0"/>
    <n v="2E+20"/>
    <n v="0"/>
    <n v="0"/>
    <n v="8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1"/>
    <x v="9"/>
    <x v="3"/>
    <x v="2"/>
    <n v="0"/>
    <n v="2E+20"/>
    <n v="0"/>
    <n v="0"/>
    <n v="8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1"/>
    <x v="9"/>
    <x v="4"/>
    <x v="2"/>
    <n v="45.030842375200301"/>
    <n v="2E+20"/>
    <n v="27.274994270016201"/>
    <n v="78.499597813463097"/>
    <n v="8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1"/>
    <x v="9"/>
    <x v="5"/>
    <x v="2"/>
    <n v="9"/>
    <n v="2E+20"/>
    <n v="9"/>
    <n v="9.0000000000000302"/>
    <n v="8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1"/>
    <x v="9"/>
    <x v="6"/>
    <x v="2"/>
    <n v="20.905896241075698"/>
    <n v="2E+20"/>
    <n v="14.703681937936199"/>
    <n v="26.807598048146499"/>
    <n v="8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1"/>
    <x v="9"/>
    <x v="7"/>
    <x v="2"/>
    <n v="15.124946134124601"/>
    <n v="2E+20"/>
    <n v="0"/>
    <n v="44.6844748132783"/>
    <n v="8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2"/>
    <x v="9"/>
    <x v="2"/>
    <x v="2"/>
    <n v="0"/>
    <n v="2E+20"/>
    <n v="0"/>
    <n v="0"/>
    <n v="14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2"/>
    <x v="9"/>
    <x v="3"/>
    <x v="2"/>
    <n v="0"/>
    <n v="2E+20"/>
    <n v="0"/>
    <n v="0"/>
    <n v="14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2"/>
    <x v="9"/>
    <x v="4"/>
    <x v="2"/>
    <n v="45.884775425524097"/>
    <n v="2E+20"/>
    <n v="31.779266697234199"/>
    <n v="59.258896985915001"/>
    <n v="14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2"/>
    <x v="9"/>
    <x v="5"/>
    <x v="2"/>
    <n v="9"/>
    <n v="2E+20"/>
    <n v="9"/>
    <n v="9"/>
    <n v="14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2"/>
    <x v="9"/>
    <x v="6"/>
    <x v="2"/>
    <n v="21.1506658108907"/>
    <n v="2E+20"/>
    <n v="16.163954293346301"/>
    <n v="24.256391332024499"/>
    <n v="14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2"/>
    <x v="9"/>
    <x v="7"/>
    <x v="2"/>
    <n v="15.7341096146334"/>
    <n v="2E+20"/>
    <n v="6.2372471971733603"/>
    <n v="30.716983049079801"/>
    <n v="14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3"/>
    <x v="9"/>
    <x v="2"/>
    <x v="2"/>
    <n v="0"/>
    <n v="2E+20"/>
    <n v="0"/>
    <n v="0"/>
    <n v="10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3"/>
    <x v="9"/>
    <x v="3"/>
    <x v="2"/>
    <n v="0"/>
    <n v="2E+20"/>
    <n v="0"/>
    <n v="0"/>
    <n v="10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3"/>
    <x v="9"/>
    <x v="4"/>
    <x v="2"/>
    <n v="33.521703094146403"/>
    <n v="2E+20"/>
    <n v="29.293027386722301"/>
    <n v="44.372408001904397"/>
    <n v="10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3"/>
    <x v="9"/>
    <x v="5"/>
    <x v="2"/>
    <n v="9"/>
    <n v="2E+20"/>
    <n v="8.9999999999999893"/>
    <n v="9"/>
    <n v="10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3"/>
    <x v="9"/>
    <x v="6"/>
    <x v="2"/>
    <n v="21.650428864599299"/>
    <n v="2E+20"/>
    <n v="16.559659025686699"/>
    <n v="25.2768874900494"/>
    <n v="10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3"/>
    <x v="9"/>
    <x v="7"/>
    <x v="2"/>
    <n v="2.8712742295470899"/>
    <n v="2E+20"/>
    <n v="0"/>
    <n v="12.1300359327827"/>
    <n v="10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4"/>
    <x v="9"/>
    <x v="2"/>
    <x v="2"/>
    <n v="0"/>
    <n v="2E+20"/>
    <n v="0"/>
    <n v="0"/>
    <n v="10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4"/>
    <x v="9"/>
    <x v="3"/>
    <x v="2"/>
    <n v="0"/>
    <n v="2E+20"/>
    <n v="0"/>
    <n v="0"/>
    <n v="10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4"/>
    <x v="9"/>
    <x v="4"/>
    <x v="2"/>
    <n v="38.296529258044004"/>
    <n v="2E+20"/>
    <n v="28.794312501509602"/>
    <n v="58.179445421342798"/>
    <n v="10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4"/>
    <x v="9"/>
    <x v="5"/>
    <x v="2"/>
    <n v="9"/>
    <n v="2E+20"/>
    <n v="9"/>
    <n v="9"/>
    <n v="10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4"/>
    <x v="9"/>
    <x v="6"/>
    <x v="2"/>
    <n v="22.040703390760601"/>
    <n v="2E+20"/>
    <n v="18.921335176906702"/>
    <n v="24.948772220811801"/>
    <n v="10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4"/>
    <x v="9"/>
    <x v="7"/>
    <x v="2"/>
    <n v="7.2558258672833897"/>
    <n v="2E+20"/>
    <n v="0"/>
    <n v="28.373996086027901"/>
    <n v="10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5"/>
    <x v="9"/>
    <x v="2"/>
    <x v="2"/>
    <n v="0"/>
    <n v="2E+20"/>
    <n v="0"/>
    <n v="0"/>
    <n v="12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5"/>
    <x v="9"/>
    <x v="3"/>
    <x v="2"/>
    <n v="0"/>
    <n v="2E+20"/>
    <n v="0"/>
    <n v="0"/>
    <n v="12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5"/>
    <x v="9"/>
    <x v="4"/>
    <x v="2"/>
    <n v="35.5426263520528"/>
    <n v="2E+20"/>
    <n v="27.919642656243401"/>
    <n v="46.457411341366203"/>
    <n v="12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5"/>
    <x v="9"/>
    <x v="5"/>
    <x v="2"/>
    <n v="9"/>
    <n v="2E+20"/>
    <n v="9"/>
    <n v="9"/>
    <n v="12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5"/>
    <x v="9"/>
    <x v="6"/>
    <x v="2"/>
    <n v="18.960622719540901"/>
    <n v="2E+20"/>
    <n v="13.262616210012901"/>
    <n v="21.785864558943398"/>
    <n v="12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5"/>
    <x v="9"/>
    <x v="7"/>
    <x v="2"/>
    <n v="7.5820036325120004"/>
    <n v="2E+20"/>
    <n v="0"/>
    <n v="18.406840111730901"/>
    <n v="12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6"/>
    <x v="9"/>
    <x v="2"/>
    <x v="2"/>
    <n v="0"/>
    <n v="2E+20"/>
    <n v="0"/>
    <n v="0"/>
    <n v="13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6"/>
    <x v="9"/>
    <x v="3"/>
    <x v="2"/>
    <n v="0"/>
    <n v="2E+20"/>
    <n v="0"/>
    <n v="0"/>
    <n v="13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6"/>
    <x v="9"/>
    <x v="4"/>
    <x v="2"/>
    <n v="50.608944787418999"/>
    <n v="2E+20"/>
    <n v="26.342298132756898"/>
    <n v="77.265719463960593"/>
    <n v="13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6"/>
    <x v="9"/>
    <x v="5"/>
    <x v="2"/>
    <n v="9"/>
    <n v="2E+20"/>
    <n v="8.9999999999999893"/>
    <n v="9"/>
    <n v="13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6"/>
    <x v="9"/>
    <x v="6"/>
    <x v="2"/>
    <n v="21.852006056677698"/>
    <n v="2E+20"/>
    <n v="14.271610671818699"/>
    <n v="27.876829255981601"/>
    <n v="13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6"/>
    <x v="9"/>
    <x v="7"/>
    <x v="2"/>
    <n v="19.7569387307413"/>
    <n v="2E+20"/>
    <n v="0"/>
    <n v="44.831511242791699"/>
    <n v="13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7"/>
    <x v="9"/>
    <x v="2"/>
    <x v="2"/>
    <n v="0"/>
    <n v="2E+20"/>
    <n v="0"/>
    <n v="0"/>
    <n v="12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7"/>
    <x v="9"/>
    <x v="3"/>
    <x v="2"/>
    <n v="0"/>
    <n v="2E+20"/>
    <n v="0"/>
    <n v="0"/>
    <n v="12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7"/>
    <x v="9"/>
    <x v="4"/>
    <x v="2"/>
    <n v="39.165607025648796"/>
    <n v="2E+20"/>
    <n v="29.531920896885001"/>
    <n v="50.876929085233499"/>
    <n v="12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7"/>
    <x v="9"/>
    <x v="5"/>
    <x v="2"/>
    <n v="9"/>
    <n v="2E+20"/>
    <n v="9"/>
    <n v="9"/>
    <n v="12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7"/>
    <x v="9"/>
    <x v="6"/>
    <x v="2"/>
    <n v="22.537373616681101"/>
    <n v="2E+20"/>
    <n v="17.1700546073236"/>
    <n v="26.882982725126499"/>
    <n v="12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7"/>
    <x v="9"/>
    <x v="7"/>
    <x v="2"/>
    <n v="7.6282334089677697"/>
    <n v="2E+20"/>
    <n v="0"/>
    <n v="16.364602659656999"/>
    <n v="12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8"/>
    <x v="9"/>
    <x v="2"/>
    <x v="2"/>
    <n v="0"/>
    <n v="2E+20"/>
    <n v="0"/>
    <n v="0"/>
    <n v="13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8"/>
    <x v="9"/>
    <x v="3"/>
    <x v="2"/>
    <n v="0"/>
    <n v="2E+20"/>
    <n v="0"/>
    <n v="0"/>
    <n v="13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8"/>
    <x v="9"/>
    <x v="4"/>
    <x v="2"/>
    <n v="53.188885435375902"/>
    <n v="2E+20"/>
    <n v="37.071623824875502"/>
    <n v="67.7734394757898"/>
    <n v="13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8"/>
    <x v="9"/>
    <x v="5"/>
    <x v="2"/>
    <n v="9"/>
    <n v="2E+20"/>
    <n v="9"/>
    <n v="9.0000000000000302"/>
    <n v="13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8"/>
    <x v="9"/>
    <x v="6"/>
    <x v="2"/>
    <n v="22.776367399095498"/>
    <n v="2E+20"/>
    <n v="17.359750298872498"/>
    <n v="26.319898319236199"/>
    <n v="13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8"/>
    <x v="9"/>
    <x v="7"/>
    <x v="2"/>
    <n v="21.412518036280499"/>
    <n v="2E+20"/>
    <n v="6.6173486872825196"/>
    <n v="36.437610785637197"/>
    <n v="13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9"/>
    <x v="9"/>
    <x v="2"/>
    <x v="2"/>
    <n v="0"/>
    <n v="2E+20"/>
    <n v="0"/>
    <n v="0"/>
    <n v="10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9"/>
    <x v="9"/>
    <x v="3"/>
    <x v="2"/>
    <n v="0"/>
    <n v="2E+20"/>
    <n v="0"/>
    <n v="0"/>
    <n v="10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9"/>
    <x v="9"/>
    <x v="4"/>
    <x v="2"/>
    <n v="36.744302882510802"/>
    <n v="2E+20"/>
    <n v="24.599315398531001"/>
    <n v="65.679122643966096"/>
    <n v="10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9"/>
    <x v="9"/>
    <x v="5"/>
    <x v="2"/>
    <n v="9"/>
    <n v="2E+20"/>
    <n v="9"/>
    <n v="9"/>
    <n v="10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9"/>
    <x v="9"/>
    <x v="6"/>
    <x v="2"/>
    <n v="20.976172771748502"/>
    <n v="2E+20"/>
    <n v="15.599315398530999"/>
    <n v="26.8685728013484"/>
    <n v="10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9"/>
    <x v="9"/>
    <x v="7"/>
    <x v="2"/>
    <n v="6.7681301107623"/>
    <n v="2E+20"/>
    <n v="0"/>
    <n v="34.524184131639203"/>
    <n v="10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10"/>
    <x v="9"/>
    <x v="2"/>
    <x v="2"/>
    <n v="0"/>
    <n v="2E+20"/>
    <n v="0"/>
    <n v="0"/>
    <n v="8"/>
    <s v="Unnamed ProjectType3NVA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10"/>
    <x v="9"/>
    <x v="3"/>
    <x v="2"/>
    <n v="0"/>
    <n v="2E+20"/>
    <n v="0"/>
    <n v="0"/>
    <n v="8"/>
    <s v="Unnamed ProjectType3Other TimeEntity"/>
    <n v="10"/>
    <n v="0"/>
    <n v="0"/>
    <n v="0.95"/>
    <n v="0"/>
    <n v="0"/>
    <n v="0"/>
    <n v="0"/>
    <n v="0"/>
    <n v="11"/>
    <n v="0"/>
    <n v="10"/>
    <n v="1"/>
  </r>
  <r>
    <x v="0"/>
    <s v="2023-05-02 18:47:03"/>
    <n v="10"/>
    <x v="9"/>
    <x v="4"/>
    <x v="2"/>
    <n v="36.818236382697798"/>
    <n v="2E+20"/>
    <n v="26.725129481114099"/>
    <n v="54.007834102682303"/>
    <n v="8"/>
    <s v="Unnamed ProjectType3Total TimeEntity"/>
    <n v="10"/>
    <n v="41.480245301861984"/>
    <n v="6.7551036021783171"/>
    <n v="0.95"/>
    <n v="4.8323100123655722"/>
    <n v="33.521703094146403"/>
    <n v="53.188885435375902"/>
    <n v="24.599315398531001"/>
    <n v="78.499597813463097"/>
    <n v="11"/>
    <n v="4.8323100123655722"/>
    <n v="10"/>
    <n v="1"/>
  </r>
  <r>
    <x v="0"/>
    <s v="2023-05-02 18:47:03"/>
    <n v="10"/>
    <x v="9"/>
    <x v="5"/>
    <x v="2"/>
    <n v="9"/>
    <n v="2E+20"/>
    <n v="9"/>
    <n v="9"/>
    <n v="8"/>
    <s v="Unnamed ProjectType3Transfer TimeEntity"/>
    <n v="10"/>
    <n v="9"/>
    <n v="0"/>
    <n v="0.95"/>
    <n v="0"/>
    <n v="9"/>
    <n v="9"/>
    <n v="8.9999999999999893"/>
    <n v="9.0000000000000302"/>
    <n v="11"/>
    <n v="0"/>
    <n v="10"/>
    <n v="1"/>
  </r>
  <r>
    <x v="0"/>
    <s v="2023-05-02 18:47:03"/>
    <n v="10"/>
    <x v="9"/>
    <x v="6"/>
    <x v="2"/>
    <n v="21.551830986818501"/>
    <n v="2E+20"/>
    <n v="16.025826485760501"/>
    <n v="28.307314565234201"/>
    <n v="8"/>
    <s v="Unnamed ProjectType3VA TimeEntity"/>
    <n v="10"/>
    <n v="21.440206785788853"/>
    <n v="1.0702499592897796"/>
    <n v="0.95"/>
    <n v="0.76561069949276661"/>
    <n v="18.960622719540901"/>
    <n v="22.776367399095498"/>
    <n v="13.262616210012901"/>
    <n v="28.307314565234201"/>
    <n v="11"/>
    <n v="0.76561069949276661"/>
    <n v="10"/>
    <n v="1"/>
  </r>
  <r>
    <x v="0"/>
    <s v="2023-05-02 18:47:03"/>
    <n v="10"/>
    <x v="9"/>
    <x v="7"/>
    <x v="2"/>
    <n v="6.26640539587929"/>
    <n v="2E+20"/>
    <n v="0"/>
    <n v="16.700519537448098"/>
    <n v="8"/>
    <s v="Unnamed ProjectType3Wait TimeEntity"/>
    <n v="10"/>
    <n v="11.040038516073164"/>
    <n v="6.3942476210211643"/>
    <n v="0.95"/>
    <n v="4.574169194183983"/>
    <n v="2.8712742295470899"/>
    <n v="21.412518036280499"/>
    <n v="0"/>
    <n v="44.831511242791699"/>
    <n v="11"/>
    <n v="4.574169194183983"/>
    <n v="10"/>
    <n v="1"/>
  </r>
  <r>
    <x v="0"/>
    <s v="2023-05-02 18:47:03"/>
    <n v="1"/>
    <x v="10"/>
    <x v="2"/>
    <x v="2"/>
    <n v="0"/>
    <n v="2E+20"/>
    <n v="0"/>
    <n v="0"/>
    <n v="12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1"/>
    <x v="10"/>
    <x v="3"/>
    <x v="2"/>
    <n v="0"/>
    <n v="2E+20"/>
    <n v="0"/>
    <n v="0"/>
    <n v="12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1"/>
    <x v="10"/>
    <x v="4"/>
    <x v="2"/>
    <n v="57.852123951402099"/>
    <n v="2E+20"/>
    <n v="33.843201795533702"/>
    <n v="94.196845554717797"/>
    <n v="12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1"/>
    <x v="10"/>
    <x v="5"/>
    <x v="2"/>
    <n v="9"/>
    <n v="2E+20"/>
    <n v="9"/>
    <n v="9"/>
    <n v="12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1"/>
    <x v="10"/>
    <x v="6"/>
    <x v="2"/>
    <n v="24.5828859751153"/>
    <n v="2E+20"/>
    <n v="20.713653818897399"/>
    <n v="27.700956810356601"/>
    <n v="12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1"/>
    <x v="10"/>
    <x v="7"/>
    <x v="2"/>
    <n v="24.269237976286799"/>
    <n v="2E+20"/>
    <n v="2.92180273438905"/>
    <n v="61.623563647439497"/>
    <n v="12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2"/>
    <x v="10"/>
    <x v="2"/>
    <x v="2"/>
    <n v="0"/>
    <n v="2E+20"/>
    <n v="0"/>
    <n v="0"/>
    <n v="10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2"/>
    <x v="10"/>
    <x v="3"/>
    <x v="2"/>
    <n v="0"/>
    <n v="2E+20"/>
    <n v="0"/>
    <n v="0"/>
    <n v="10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2"/>
    <x v="10"/>
    <x v="4"/>
    <x v="2"/>
    <n v="45.086861905457503"/>
    <n v="2E+20"/>
    <n v="34.051865766180299"/>
    <n v="59.570387894475999"/>
    <n v="10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2"/>
    <x v="10"/>
    <x v="5"/>
    <x v="2"/>
    <n v="9"/>
    <n v="2E+20"/>
    <n v="9"/>
    <n v="9"/>
    <n v="10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2"/>
    <x v="10"/>
    <x v="6"/>
    <x v="2"/>
    <n v="24.459714659702001"/>
    <n v="2E+20"/>
    <n v="20.527242244665"/>
    <n v="28.068007005443398"/>
    <n v="10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2"/>
    <x v="10"/>
    <x v="7"/>
    <x v="2"/>
    <n v="11.6271472457555"/>
    <n v="2E+20"/>
    <n v="0"/>
    <n v="25.124264588088199"/>
    <n v="10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3"/>
    <x v="10"/>
    <x v="2"/>
    <x v="2"/>
    <n v="0"/>
    <n v="2E+20"/>
    <n v="0"/>
    <n v="0"/>
    <n v="12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3"/>
    <x v="10"/>
    <x v="3"/>
    <x v="2"/>
    <n v="0"/>
    <n v="2E+20"/>
    <n v="0"/>
    <n v="0"/>
    <n v="12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3"/>
    <x v="10"/>
    <x v="4"/>
    <x v="2"/>
    <n v="48.125146290260403"/>
    <n v="2E+20"/>
    <n v="32.4686687610508"/>
    <n v="87.128502541094093"/>
    <n v="12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3"/>
    <x v="10"/>
    <x v="5"/>
    <x v="2"/>
    <n v="9"/>
    <n v="2E+20"/>
    <n v="9"/>
    <n v="9"/>
    <n v="12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3"/>
    <x v="10"/>
    <x v="6"/>
    <x v="2"/>
    <n v="23.230521307253401"/>
    <n v="2E+20"/>
    <n v="17.9684813596824"/>
    <n v="28.1136549817641"/>
    <n v="12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3"/>
    <x v="10"/>
    <x v="7"/>
    <x v="2"/>
    <n v="15.894624983007001"/>
    <n v="2E+20"/>
    <n v="1.9516763693192001"/>
    <n v="53.856685093067703"/>
    <n v="12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4"/>
    <x v="10"/>
    <x v="2"/>
    <x v="2"/>
    <n v="0"/>
    <n v="2E+20"/>
    <n v="0"/>
    <n v="0"/>
    <n v="11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4"/>
    <x v="10"/>
    <x v="3"/>
    <x v="2"/>
    <n v="0"/>
    <n v="2E+20"/>
    <n v="0"/>
    <n v="0"/>
    <n v="11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4"/>
    <x v="10"/>
    <x v="4"/>
    <x v="2"/>
    <n v="53.732529548833099"/>
    <n v="2E+20"/>
    <n v="35.898534997393803"/>
    <n v="75.250903188082006"/>
    <n v="11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4"/>
    <x v="10"/>
    <x v="5"/>
    <x v="2"/>
    <n v="9"/>
    <n v="2E+20"/>
    <n v="9"/>
    <n v="9"/>
    <n v="11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4"/>
    <x v="10"/>
    <x v="6"/>
    <x v="2"/>
    <n v="25.169251972104"/>
    <n v="2E+20"/>
    <n v="22.623581257725899"/>
    <n v="28.388043876735701"/>
    <n v="11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4"/>
    <x v="10"/>
    <x v="7"/>
    <x v="2"/>
    <n v="19.563277576729099"/>
    <n v="2E+20"/>
    <n v="0"/>
    <n v="41.604403620400603"/>
    <n v="11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5"/>
    <x v="10"/>
    <x v="2"/>
    <x v="2"/>
    <n v="0"/>
    <n v="2E+20"/>
    <n v="0"/>
    <n v="0"/>
    <n v="14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5"/>
    <x v="10"/>
    <x v="3"/>
    <x v="2"/>
    <n v="0"/>
    <n v="2E+20"/>
    <n v="0"/>
    <n v="0"/>
    <n v="14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5"/>
    <x v="10"/>
    <x v="4"/>
    <x v="2"/>
    <n v="43.836381030600201"/>
    <n v="2E+20"/>
    <n v="33.553023236499001"/>
    <n v="67.917561426639296"/>
    <n v="14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5"/>
    <x v="10"/>
    <x v="5"/>
    <x v="2"/>
    <n v="9"/>
    <n v="2E+20"/>
    <n v="9"/>
    <n v="9"/>
    <n v="14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5"/>
    <x v="10"/>
    <x v="6"/>
    <x v="2"/>
    <n v="23.682128700143799"/>
    <n v="2E+20"/>
    <n v="18.3183086688015"/>
    <n v="27.181467462844999"/>
    <n v="14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5"/>
    <x v="10"/>
    <x v="7"/>
    <x v="2"/>
    <n v="11.1542523304564"/>
    <n v="2E+20"/>
    <n v="0"/>
    <n v="33.599059349708298"/>
    <n v="14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6"/>
    <x v="10"/>
    <x v="2"/>
    <x v="2"/>
    <n v="0"/>
    <n v="2E+20"/>
    <n v="0"/>
    <n v="0"/>
    <n v="8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6"/>
    <x v="10"/>
    <x v="3"/>
    <x v="2"/>
    <n v="0"/>
    <n v="2E+20"/>
    <n v="0"/>
    <n v="0"/>
    <n v="8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6"/>
    <x v="10"/>
    <x v="4"/>
    <x v="2"/>
    <n v="46.785301354134099"/>
    <n v="2E+20"/>
    <n v="30.9310144170956"/>
    <n v="74.052567635113206"/>
    <n v="8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6"/>
    <x v="10"/>
    <x v="5"/>
    <x v="2"/>
    <n v="9"/>
    <n v="2E+20"/>
    <n v="9"/>
    <n v="9"/>
    <n v="8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6"/>
    <x v="10"/>
    <x v="6"/>
    <x v="2"/>
    <n v="24.091947261569"/>
    <n v="2E+20"/>
    <n v="21.3026573535365"/>
    <n v="28.0185437704754"/>
    <n v="8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6"/>
    <x v="10"/>
    <x v="7"/>
    <x v="2"/>
    <n v="13.6933540925651"/>
    <n v="2E+20"/>
    <n v="0"/>
    <n v="42.867650436244901"/>
    <n v="8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7"/>
    <x v="10"/>
    <x v="2"/>
    <x v="2"/>
    <n v="0"/>
    <n v="2E+20"/>
    <n v="0"/>
    <n v="0"/>
    <n v="10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7"/>
    <x v="10"/>
    <x v="3"/>
    <x v="2"/>
    <n v="0"/>
    <n v="2E+20"/>
    <n v="0"/>
    <n v="0"/>
    <n v="10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7"/>
    <x v="10"/>
    <x v="4"/>
    <x v="2"/>
    <n v="43.309307456693901"/>
    <n v="2E+20"/>
    <n v="33.372364645818401"/>
    <n v="61.036332343549098"/>
    <n v="10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7"/>
    <x v="10"/>
    <x v="5"/>
    <x v="2"/>
    <n v="9"/>
    <n v="2E+20"/>
    <n v="8.9999999999999893"/>
    <n v="9"/>
    <n v="10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7"/>
    <x v="10"/>
    <x v="6"/>
    <x v="2"/>
    <n v="24.603399509178601"/>
    <n v="2E+20"/>
    <n v="22.260277735419699"/>
    <n v="28.456608374950001"/>
    <n v="10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7"/>
    <x v="10"/>
    <x v="7"/>
    <x v="2"/>
    <n v="9.7059079475153691"/>
    <n v="2E+20"/>
    <n v="8.05788039650608E-2"/>
    <n v="26.952897313991102"/>
    <n v="10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8"/>
    <x v="10"/>
    <x v="2"/>
    <x v="2"/>
    <n v="0"/>
    <n v="2E+20"/>
    <n v="0"/>
    <n v="0"/>
    <n v="14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8"/>
    <x v="10"/>
    <x v="3"/>
    <x v="2"/>
    <n v="0"/>
    <n v="2E+20"/>
    <n v="0"/>
    <n v="0"/>
    <n v="14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8"/>
    <x v="10"/>
    <x v="4"/>
    <x v="2"/>
    <n v="56.7378475018823"/>
    <n v="2E+20"/>
    <n v="36.562204124257697"/>
    <n v="96.993071741156299"/>
    <n v="14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8"/>
    <x v="10"/>
    <x v="5"/>
    <x v="2"/>
    <n v="9"/>
    <n v="2E+20"/>
    <n v="9"/>
    <n v="9"/>
    <n v="14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8"/>
    <x v="10"/>
    <x v="6"/>
    <x v="2"/>
    <n v="23.675202757774599"/>
    <n v="2E+20"/>
    <n v="19.941601437874599"/>
    <n v="26.998091927945399"/>
    <n v="14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8"/>
    <x v="10"/>
    <x v="7"/>
    <x v="2"/>
    <n v="24.0626447441077"/>
    <n v="2E+20"/>
    <n v="4.5906756686076404"/>
    <n v="65.514510493787597"/>
    <n v="14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9"/>
    <x v="10"/>
    <x v="2"/>
    <x v="2"/>
    <n v="0"/>
    <n v="2E+20"/>
    <n v="0"/>
    <n v="0"/>
    <n v="12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9"/>
    <x v="10"/>
    <x v="3"/>
    <x v="2"/>
    <n v="0"/>
    <n v="2E+20"/>
    <n v="0"/>
    <n v="0"/>
    <n v="12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9"/>
    <x v="10"/>
    <x v="4"/>
    <x v="2"/>
    <n v="56.431695557412802"/>
    <n v="2E+20"/>
    <n v="35.123754584928101"/>
    <n v="77.777697900936801"/>
    <n v="12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9"/>
    <x v="10"/>
    <x v="5"/>
    <x v="2"/>
    <n v="9"/>
    <n v="2E+20"/>
    <n v="9"/>
    <n v="9"/>
    <n v="12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9"/>
    <x v="10"/>
    <x v="6"/>
    <x v="2"/>
    <n v="23.784334030263"/>
    <n v="2E+20"/>
    <n v="20.0647667227115"/>
    <n v="30.3404073957776"/>
    <n v="12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9"/>
    <x v="10"/>
    <x v="7"/>
    <x v="2"/>
    <n v="23.647361527149801"/>
    <n v="2E+20"/>
    <n v="0"/>
    <n v="43.852403630377502"/>
    <n v="12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  <r>
    <x v="0"/>
    <s v="2023-05-02 18:47:03"/>
    <n v="10"/>
    <x v="10"/>
    <x v="2"/>
    <x v="2"/>
    <n v="0"/>
    <n v="2E+20"/>
    <n v="0"/>
    <n v="0"/>
    <n v="11"/>
    <s v="Unnamed ProjectType4NVA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10"/>
    <x v="10"/>
    <x v="3"/>
    <x v="2"/>
    <n v="0"/>
    <n v="2E+20"/>
    <n v="0"/>
    <n v="0"/>
    <n v="11"/>
    <s v="Unnamed ProjectType4Other TimeEntity"/>
    <n v="10"/>
    <n v="0"/>
    <n v="0"/>
    <n v="0.95"/>
    <n v="0"/>
    <n v="0"/>
    <n v="0"/>
    <n v="0"/>
    <n v="0"/>
    <n v="11.4"/>
    <n v="0"/>
    <n v="10"/>
    <n v="1"/>
  </r>
  <r>
    <x v="0"/>
    <s v="2023-05-02 18:47:03"/>
    <n v="10"/>
    <x v="10"/>
    <x v="4"/>
    <x v="2"/>
    <n v="53.905373591095497"/>
    <n v="2E+20"/>
    <n v="33.084702377688899"/>
    <n v="74.600760097779002"/>
    <n v="11"/>
    <s v="Unnamed ProjectType4Total TimeEntity"/>
    <n v="10"/>
    <n v="50.580256818777187"/>
    <n v="5.7250108439810763"/>
    <n v="0.95"/>
    <n v="4.0954260439988062"/>
    <n v="43.309307456693901"/>
    <n v="57.852123951402099"/>
    <n v="30.9310144170956"/>
    <n v="96.993071741156299"/>
    <n v="11.4"/>
    <n v="4.0954260439988062"/>
    <n v="10"/>
    <n v="1"/>
  </r>
  <r>
    <x v="0"/>
    <s v="2023-05-02 18:47:03"/>
    <n v="10"/>
    <x v="10"/>
    <x v="5"/>
    <x v="2"/>
    <n v="9"/>
    <n v="2E+20"/>
    <n v="9"/>
    <n v="9"/>
    <n v="11"/>
    <s v="Unnamed ProjectType4Transfer TimeEntity"/>
    <n v="10"/>
    <n v="9"/>
    <n v="0"/>
    <n v="0.95"/>
    <n v="0"/>
    <n v="9"/>
    <n v="9"/>
    <n v="8.9999999999999893"/>
    <n v="9"/>
    <n v="11.4"/>
    <n v="0"/>
    <n v="10"/>
    <n v="1"/>
  </r>
  <r>
    <x v="0"/>
    <s v="2023-05-02 18:47:03"/>
    <n v="10"/>
    <x v="10"/>
    <x v="6"/>
    <x v="2"/>
    <n v="23.360668883991401"/>
    <n v="2E+20"/>
    <n v="21.026628972442001"/>
    <n v="27.2232723519896"/>
    <n v="11"/>
    <s v="Unnamed ProjectType4VA TimeEntity"/>
    <n v="10"/>
    <n v="24.06400550570951"/>
    <n v="0.62394007710817145"/>
    <n v="0.95"/>
    <n v="0.44633984307119945"/>
    <n v="23.230521307253401"/>
    <n v="25.169251972104"/>
    <n v="17.9684813596824"/>
    <n v="30.3404073957776"/>
    <n v="11.4"/>
    <n v="0.44633984307119945"/>
    <n v="10"/>
    <n v="1"/>
  </r>
  <r>
    <x v="0"/>
    <s v="2023-05-02 18:47:03"/>
    <n v="10"/>
    <x v="10"/>
    <x v="7"/>
    <x v="2"/>
    <n v="21.544704707104099"/>
    <n v="2E+20"/>
    <n v="0"/>
    <n v="42.097429889922502"/>
    <n v="11"/>
    <s v="Unnamed ProjectType4Wait TimeEntity"/>
    <n v="10"/>
    <n v="17.516251313067688"/>
    <n v="5.7722479534784288"/>
    <n v="0.95"/>
    <n v="4.1292174364958303"/>
    <n v="9.7059079475153691"/>
    <n v="24.269237976286799"/>
    <n v="0"/>
    <n v="65.514510493787597"/>
    <n v="11.4"/>
    <n v="4.1292174364958303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3-05-02 18:47:03"/>
    <n v="1"/>
    <x v="0"/>
    <x v="0"/>
    <x v="0"/>
    <n v="32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1"/>
    <x v="1"/>
    <x v="1"/>
    <x v="0"/>
    <n v="0.80135542616927102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1"/>
    <x v="2"/>
    <x v="0"/>
    <x v="0"/>
    <n v="34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1"/>
    <x v="3"/>
    <x v="1"/>
    <x v="0"/>
    <n v="0.902007440428508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1"/>
    <x v="4"/>
    <x v="0"/>
    <x v="0"/>
    <n v="35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1"/>
    <x v="5"/>
    <x v="1"/>
    <x v="0"/>
    <n v="0.82487352272256997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1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1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1"/>
    <x v="8"/>
    <x v="3"/>
    <x v="2"/>
    <n v="42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1"/>
    <x v="9"/>
    <x v="2"/>
    <x v="1"/>
    <n v="10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1"/>
    <x v="10"/>
    <x v="3"/>
    <x v="1"/>
    <n v="10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1"/>
    <x v="11"/>
    <x v="2"/>
    <x v="1"/>
    <n v="13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1"/>
    <x v="12"/>
    <x v="3"/>
    <x v="1"/>
    <n v="12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1"/>
    <x v="13"/>
    <x v="2"/>
    <x v="1"/>
    <n v="10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1"/>
    <x v="14"/>
    <x v="3"/>
    <x v="1"/>
    <n v="8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1"/>
    <x v="15"/>
    <x v="2"/>
    <x v="1"/>
    <n v="16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1"/>
    <x v="16"/>
    <x v="3"/>
    <x v="1"/>
    <n v="12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2"/>
    <x v="0"/>
    <x v="0"/>
    <x v="0"/>
    <n v="37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2"/>
    <x v="1"/>
    <x v="1"/>
    <x v="0"/>
    <n v="0.89145105084620302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2"/>
    <x v="2"/>
    <x v="0"/>
    <x v="0"/>
    <n v="36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2"/>
    <x v="3"/>
    <x v="1"/>
    <x v="0"/>
    <n v="0.870326788161501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2"/>
    <x v="4"/>
    <x v="0"/>
    <x v="0"/>
    <n v="29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2"/>
    <x v="5"/>
    <x v="1"/>
    <x v="0"/>
    <n v="0.70782288620545397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2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2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2"/>
    <x v="8"/>
    <x v="3"/>
    <x v="2"/>
    <n v="43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2"/>
    <x v="9"/>
    <x v="2"/>
    <x v="1"/>
    <n v="9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2"/>
    <x v="10"/>
    <x v="3"/>
    <x v="1"/>
    <n v="9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2"/>
    <x v="11"/>
    <x v="2"/>
    <x v="1"/>
    <n v="14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2"/>
    <x v="12"/>
    <x v="3"/>
    <x v="1"/>
    <n v="10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2"/>
    <x v="13"/>
    <x v="2"/>
    <x v="1"/>
    <n v="16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2"/>
    <x v="14"/>
    <x v="3"/>
    <x v="1"/>
    <n v="14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2"/>
    <x v="15"/>
    <x v="2"/>
    <x v="1"/>
    <n v="10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2"/>
    <x v="16"/>
    <x v="3"/>
    <x v="1"/>
    <n v="10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3"/>
    <x v="0"/>
    <x v="0"/>
    <x v="0"/>
    <n v="35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3"/>
    <x v="1"/>
    <x v="1"/>
    <x v="0"/>
    <n v="0.80803419515763997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3"/>
    <x v="2"/>
    <x v="0"/>
    <x v="0"/>
    <n v="32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3"/>
    <x v="3"/>
    <x v="1"/>
    <x v="0"/>
    <n v="0.81794711450151802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3"/>
    <x v="4"/>
    <x v="0"/>
    <x v="0"/>
    <n v="33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3"/>
    <x v="5"/>
    <x v="1"/>
    <x v="0"/>
    <n v="0.79202715857680095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3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3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3"/>
    <x v="8"/>
    <x v="3"/>
    <x v="2"/>
    <n v="42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3"/>
    <x v="9"/>
    <x v="2"/>
    <x v="1"/>
    <n v="15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3"/>
    <x v="10"/>
    <x v="3"/>
    <x v="1"/>
    <n v="12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3"/>
    <x v="11"/>
    <x v="2"/>
    <x v="1"/>
    <n v="9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3"/>
    <x v="12"/>
    <x v="3"/>
    <x v="1"/>
    <n v="8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3"/>
    <x v="13"/>
    <x v="2"/>
    <x v="1"/>
    <n v="13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3"/>
    <x v="14"/>
    <x v="3"/>
    <x v="1"/>
    <n v="10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3"/>
    <x v="15"/>
    <x v="2"/>
    <x v="1"/>
    <n v="12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3"/>
    <x v="16"/>
    <x v="3"/>
    <x v="1"/>
    <n v="12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4"/>
    <x v="0"/>
    <x v="0"/>
    <x v="0"/>
    <n v="36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4"/>
    <x v="1"/>
    <x v="1"/>
    <x v="0"/>
    <n v="0.85168346880996104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4"/>
    <x v="2"/>
    <x v="0"/>
    <x v="0"/>
    <n v="30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4"/>
    <x v="3"/>
    <x v="1"/>
    <x v="0"/>
    <n v="0.803390977632918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4"/>
    <x v="4"/>
    <x v="0"/>
    <x v="0"/>
    <n v="34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4"/>
    <x v="5"/>
    <x v="1"/>
    <x v="0"/>
    <n v="0.86241316352317199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4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4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4"/>
    <x v="8"/>
    <x v="3"/>
    <x v="2"/>
    <n v="43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4"/>
    <x v="9"/>
    <x v="2"/>
    <x v="1"/>
    <n v="15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4"/>
    <x v="10"/>
    <x v="3"/>
    <x v="1"/>
    <n v="15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4"/>
    <x v="11"/>
    <x v="2"/>
    <x v="1"/>
    <n v="12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4"/>
    <x v="12"/>
    <x v="3"/>
    <x v="1"/>
    <n v="7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4"/>
    <x v="13"/>
    <x v="2"/>
    <x v="1"/>
    <n v="11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4"/>
    <x v="14"/>
    <x v="3"/>
    <x v="1"/>
    <n v="10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4"/>
    <x v="15"/>
    <x v="2"/>
    <x v="1"/>
    <n v="11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4"/>
    <x v="16"/>
    <x v="3"/>
    <x v="1"/>
    <n v="11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5"/>
    <x v="0"/>
    <x v="0"/>
    <x v="0"/>
    <n v="33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5"/>
    <x v="1"/>
    <x v="1"/>
    <x v="0"/>
    <n v="0.70923148168898098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5"/>
    <x v="2"/>
    <x v="0"/>
    <x v="0"/>
    <n v="37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5"/>
    <x v="3"/>
    <x v="1"/>
    <x v="0"/>
    <n v="0.91938608785018705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5"/>
    <x v="4"/>
    <x v="0"/>
    <x v="0"/>
    <n v="33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5"/>
    <x v="5"/>
    <x v="1"/>
    <x v="0"/>
    <n v="0.74064208814979704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5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5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5"/>
    <x v="8"/>
    <x v="3"/>
    <x v="2"/>
    <n v="44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5"/>
    <x v="9"/>
    <x v="2"/>
    <x v="1"/>
    <n v="10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5"/>
    <x v="10"/>
    <x v="3"/>
    <x v="1"/>
    <n v="9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5"/>
    <x v="11"/>
    <x v="2"/>
    <x v="1"/>
    <n v="11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5"/>
    <x v="12"/>
    <x v="3"/>
    <x v="1"/>
    <n v="9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5"/>
    <x v="13"/>
    <x v="2"/>
    <x v="1"/>
    <n v="13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5"/>
    <x v="14"/>
    <x v="3"/>
    <x v="1"/>
    <n v="12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5"/>
    <x v="15"/>
    <x v="2"/>
    <x v="1"/>
    <n v="15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5"/>
    <x v="16"/>
    <x v="3"/>
    <x v="1"/>
    <n v="14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6"/>
    <x v="0"/>
    <x v="0"/>
    <x v="0"/>
    <n v="37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6"/>
    <x v="1"/>
    <x v="1"/>
    <x v="0"/>
    <n v="0.92513911074198196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6"/>
    <x v="2"/>
    <x v="0"/>
    <x v="0"/>
    <n v="33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6"/>
    <x v="3"/>
    <x v="1"/>
    <x v="0"/>
    <n v="0.83200427859563797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6"/>
    <x v="4"/>
    <x v="0"/>
    <x v="0"/>
    <n v="30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6"/>
    <x v="5"/>
    <x v="1"/>
    <x v="0"/>
    <n v="0.69586636126078405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6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6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6"/>
    <x v="8"/>
    <x v="3"/>
    <x v="2"/>
    <n v="41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6"/>
    <x v="9"/>
    <x v="2"/>
    <x v="1"/>
    <n v="12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6"/>
    <x v="10"/>
    <x v="3"/>
    <x v="1"/>
    <n v="10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6"/>
    <x v="11"/>
    <x v="2"/>
    <x v="1"/>
    <n v="11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6"/>
    <x v="12"/>
    <x v="3"/>
    <x v="1"/>
    <n v="10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6"/>
    <x v="13"/>
    <x v="2"/>
    <x v="1"/>
    <n v="17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6"/>
    <x v="14"/>
    <x v="3"/>
    <x v="1"/>
    <n v="13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6"/>
    <x v="15"/>
    <x v="2"/>
    <x v="1"/>
    <n v="9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6"/>
    <x v="16"/>
    <x v="3"/>
    <x v="1"/>
    <n v="8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7"/>
    <x v="0"/>
    <x v="0"/>
    <x v="0"/>
    <n v="36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7"/>
    <x v="1"/>
    <x v="1"/>
    <x v="0"/>
    <n v="0.89664970452561799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7"/>
    <x v="2"/>
    <x v="0"/>
    <x v="0"/>
    <n v="34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7"/>
    <x v="3"/>
    <x v="1"/>
    <x v="0"/>
    <n v="0.85837000633203198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7"/>
    <x v="4"/>
    <x v="0"/>
    <x v="0"/>
    <n v="30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7"/>
    <x v="5"/>
    <x v="1"/>
    <x v="0"/>
    <n v="0.73089144561516906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7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7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7"/>
    <x v="8"/>
    <x v="3"/>
    <x v="2"/>
    <n v="41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7"/>
    <x v="9"/>
    <x v="2"/>
    <x v="1"/>
    <n v="12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7"/>
    <x v="10"/>
    <x v="3"/>
    <x v="1"/>
    <n v="10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7"/>
    <x v="11"/>
    <x v="2"/>
    <x v="1"/>
    <n v="13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7"/>
    <x v="12"/>
    <x v="3"/>
    <x v="1"/>
    <n v="9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7"/>
    <x v="13"/>
    <x v="2"/>
    <x v="1"/>
    <n v="12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7"/>
    <x v="14"/>
    <x v="3"/>
    <x v="1"/>
    <n v="12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7"/>
    <x v="15"/>
    <x v="2"/>
    <x v="1"/>
    <n v="12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7"/>
    <x v="16"/>
    <x v="3"/>
    <x v="1"/>
    <n v="10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8"/>
    <x v="0"/>
    <x v="0"/>
    <x v="0"/>
    <n v="33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8"/>
    <x v="1"/>
    <x v="1"/>
    <x v="0"/>
    <n v="0.78750872668755401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8"/>
    <x v="2"/>
    <x v="0"/>
    <x v="0"/>
    <n v="36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8"/>
    <x v="3"/>
    <x v="1"/>
    <x v="0"/>
    <n v="0.91225274068705997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8"/>
    <x v="4"/>
    <x v="0"/>
    <x v="0"/>
    <n v="31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8"/>
    <x v="5"/>
    <x v="1"/>
    <x v="0"/>
    <n v="0.72793678885355895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8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8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8"/>
    <x v="8"/>
    <x v="3"/>
    <x v="2"/>
    <n v="43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8"/>
    <x v="9"/>
    <x v="2"/>
    <x v="1"/>
    <n v="10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8"/>
    <x v="10"/>
    <x v="3"/>
    <x v="1"/>
    <n v="8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8"/>
    <x v="11"/>
    <x v="2"/>
    <x v="1"/>
    <n v="9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8"/>
    <x v="12"/>
    <x v="3"/>
    <x v="1"/>
    <n v="8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8"/>
    <x v="13"/>
    <x v="2"/>
    <x v="1"/>
    <n v="15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8"/>
    <x v="14"/>
    <x v="3"/>
    <x v="1"/>
    <n v="13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8"/>
    <x v="15"/>
    <x v="2"/>
    <x v="1"/>
    <n v="15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8"/>
    <x v="16"/>
    <x v="3"/>
    <x v="1"/>
    <n v="14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9"/>
    <x v="0"/>
    <x v="0"/>
    <x v="0"/>
    <n v="35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9"/>
    <x v="1"/>
    <x v="1"/>
    <x v="0"/>
    <n v="0.78922756928780502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9"/>
    <x v="2"/>
    <x v="0"/>
    <x v="0"/>
    <n v="33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9"/>
    <x v="3"/>
    <x v="1"/>
    <x v="0"/>
    <n v="0.81912589087634702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9"/>
    <x v="4"/>
    <x v="0"/>
    <x v="0"/>
    <n v="34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9"/>
    <x v="5"/>
    <x v="1"/>
    <x v="0"/>
    <n v="0.79715158082863302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9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9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9"/>
    <x v="8"/>
    <x v="3"/>
    <x v="2"/>
    <n v="43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9"/>
    <x v="9"/>
    <x v="2"/>
    <x v="1"/>
    <n v="14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9"/>
    <x v="10"/>
    <x v="3"/>
    <x v="1"/>
    <n v="12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9"/>
    <x v="11"/>
    <x v="2"/>
    <x v="1"/>
    <n v="10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9"/>
    <x v="12"/>
    <x v="3"/>
    <x v="1"/>
    <n v="9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9"/>
    <x v="13"/>
    <x v="2"/>
    <x v="1"/>
    <n v="12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9"/>
    <x v="14"/>
    <x v="3"/>
    <x v="1"/>
    <n v="10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9"/>
    <x v="15"/>
    <x v="2"/>
    <x v="1"/>
    <n v="13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9"/>
    <x v="16"/>
    <x v="3"/>
    <x v="1"/>
    <n v="12"/>
    <n v="0"/>
    <s v="Unnamed ProjectType4.NumberOutNumber OutEntity"/>
    <n v="10"/>
    <n v="11.4"/>
    <n v="1.8378731669453656"/>
    <n v="0.95"/>
    <n v="1.3147352622725437"/>
    <n v="8"/>
    <n v="14"/>
  </r>
  <r>
    <x v="0"/>
    <s v="2023-05-02 18:47:03"/>
    <n v="10"/>
    <x v="0"/>
    <x v="0"/>
    <x v="0"/>
    <n v="36"/>
    <n v="0"/>
    <s v="Unnamed ProjectMachine A.NumberSeizedTotal Number SeizedResource"/>
    <n v="10"/>
    <n v="35"/>
    <n v="1.7638342073763937"/>
    <n v="0.95"/>
    <n v="1.2617709812339966"/>
    <n v="32"/>
    <n v="37"/>
  </r>
  <r>
    <x v="0"/>
    <s v="2023-05-02 18:47:03"/>
    <n v="10"/>
    <x v="1"/>
    <x v="1"/>
    <x v="0"/>
    <n v="0.85032998386021097"/>
    <n v="0"/>
    <s v="Unnamed ProjectMachine A.ScheduledUtilizationScheduled UtilizationResource"/>
    <n v="10"/>
    <n v="0.83106107177752264"/>
    <n v="6.4548027001173278E-2"/>
    <n v="0.95"/>
    <n v="4.617487688207024E-2"/>
    <n v="0.70923148168898098"/>
    <n v="0.92513911074198196"/>
  </r>
  <r>
    <x v="0"/>
    <s v="2023-05-02 18:47:03"/>
    <n v="10"/>
    <x v="2"/>
    <x v="0"/>
    <x v="0"/>
    <n v="29"/>
    <n v="0"/>
    <s v="Unnamed ProjectMachine B.NumberSeizedTotal Number SeizedResource"/>
    <n v="10"/>
    <n v="33.4"/>
    <n v="2.5905812303633931"/>
    <n v="0.95"/>
    <n v="1.8531901736184344"/>
    <n v="29"/>
    <n v="37"/>
  </r>
  <r>
    <x v="0"/>
    <s v="2023-05-02 18:47:03"/>
    <n v="10"/>
    <x v="3"/>
    <x v="1"/>
    <x v="0"/>
    <n v="0.71728584076343305"/>
    <n v="0"/>
    <s v="Unnamed ProjectMachine B.ScheduledUtilizationScheduled UtilizationResource"/>
    <n v="10"/>
    <n v="0.84520971658291411"/>
    <n v="6.1226598287413884E-2"/>
    <n v="0.95"/>
    <n v="4.3798869913993184E-2"/>
    <n v="0.71728584076343305"/>
    <n v="0.91938608785018705"/>
  </r>
  <r>
    <x v="0"/>
    <s v="2023-05-02 18:47:03"/>
    <n v="10"/>
    <x v="4"/>
    <x v="0"/>
    <x v="0"/>
    <n v="37"/>
    <n v="0"/>
    <s v="Unnamed ProjectMachine C.NumberSeizedTotal Number SeizedResource"/>
    <n v="10"/>
    <n v="32.6"/>
    <n v="2.5473297566057069"/>
    <n v="0.95"/>
    <n v="1.8222499331724646"/>
    <n v="29"/>
    <n v="37"/>
  </r>
  <r>
    <x v="0"/>
    <s v="2023-05-02 18:47:03"/>
    <n v="10"/>
    <x v="5"/>
    <x v="1"/>
    <x v="0"/>
    <n v="0.89372434220669095"/>
    <n v="0"/>
    <s v="Unnamed ProjectMachine C.ScheduledUtilizationScheduled UtilizationResource"/>
    <n v="10"/>
    <n v="0.77733493379426299"/>
    <n v="6.75490523663973E-2"/>
    <n v="0.95"/>
    <n v="4.8321681102076373E-2"/>
    <n v="0.69586636126078405"/>
    <n v="0.89372434220669095"/>
  </r>
  <r>
    <x v="0"/>
    <s v="2023-05-02 18:47:03"/>
    <n v="10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18:47:03"/>
    <n v="10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18:47:03"/>
    <n v="10"/>
    <x v="8"/>
    <x v="3"/>
    <x v="2"/>
    <n v="44"/>
    <n v="0"/>
    <s v="Unnamed ProjectSystem.NumberOutNumber OutSystem"/>
    <n v="10"/>
    <n v="42.6"/>
    <n v="1.0749676997731399"/>
    <n v="0.95"/>
    <n v="0.76898556772811566"/>
    <n v="41"/>
    <n v="44"/>
  </r>
  <r>
    <x v="0"/>
    <s v="2023-05-02 18:47:03"/>
    <n v="10"/>
    <x v="9"/>
    <x v="2"/>
    <x v="1"/>
    <n v="18"/>
    <n v="0"/>
    <s v="Unnamed ProjectType1.NumberInNumber InEntity"/>
    <n v="10"/>
    <n v="12.5"/>
    <n v="2.9154759474226504"/>
    <n v="0.95"/>
    <n v="2.0856058531801596"/>
    <n v="9"/>
    <n v="18"/>
  </r>
  <r>
    <x v="0"/>
    <s v="2023-05-02 18:47:03"/>
    <n v="10"/>
    <x v="10"/>
    <x v="3"/>
    <x v="1"/>
    <n v="16"/>
    <n v="0"/>
    <s v="Unnamed ProjectType1.NumberOutNumber OutEntity"/>
    <n v="10"/>
    <n v="11.1"/>
    <n v="2.6436506745197819"/>
    <n v="0.95"/>
    <n v="1.8911537669917318"/>
    <n v="8"/>
    <n v="16"/>
  </r>
  <r>
    <x v="0"/>
    <s v="2023-05-02 18:47:03"/>
    <n v="10"/>
    <x v="11"/>
    <x v="2"/>
    <x v="1"/>
    <n v="11"/>
    <n v="0"/>
    <s v="Unnamed ProjectType2.NumberInNumber InEntity"/>
    <n v="10"/>
    <n v="11.3"/>
    <n v="1.7029386365926371"/>
    <n v="0.95"/>
    <n v="1.218208914130811"/>
    <n v="9"/>
    <n v="14"/>
  </r>
  <r>
    <x v="0"/>
    <s v="2023-05-02 18:47:03"/>
    <n v="10"/>
    <x v="12"/>
    <x v="3"/>
    <x v="1"/>
    <n v="9"/>
    <n v="0"/>
    <s v="Unnamed ProjectType2.NumberOutNumber OutEntity"/>
    <n v="10"/>
    <n v="9.1"/>
    <n v="1.3703203194062967"/>
    <n v="0.95"/>
    <n v="0.98026810387922136"/>
    <n v="7"/>
    <n v="12"/>
  </r>
  <r>
    <x v="0"/>
    <s v="2023-05-02 18:47:03"/>
    <n v="10"/>
    <x v="13"/>
    <x v="2"/>
    <x v="1"/>
    <n v="8"/>
    <n v="0"/>
    <s v="Unnamed ProjectType3.NumberInNumber InEntity"/>
    <n v="10"/>
    <n v="12.7"/>
    <n v="2.7507574714370326"/>
    <n v="0.95"/>
    <n v="1.9677733538428845"/>
    <n v="8"/>
    <n v="17"/>
  </r>
  <r>
    <x v="0"/>
    <s v="2023-05-02 18:47:03"/>
    <n v="10"/>
    <x v="14"/>
    <x v="3"/>
    <x v="1"/>
    <n v="8"/>
    <n v="0"/>
    <s v="Unnamed ProjectType3.NumberOutNumber OutEntity"/>
    <n v="10"/>
    <n v="11"/>
    <n v="2.1081851067789197"/>
    <n v="0.95"/>
    <n v="1.508104775198803"/>
    <n v="8"/>
    <n v="14"/>
  </r>
  <r>
    <x v="0"/>
    <s v="2023-05-02 18:47:03"/>
    <n v="10"/>
    <x v="15"/>
    <x v="2"/>
    <x v="1"/>
    <n v="12"/>
    <n v="0"/>
    <s v="Unnamed ProjectType4.NumberInNumber InEntity"/>
    <n v="10"/>
    <n v="12.5"/>
    <n v="2.2730302828309759"/>
    <n v="0.95"/>
    <n v="1.6260279103035917"/>
    <n v="9"/>
    <n v="16"/>
  </r>
  <r>
    <x v="0"/>
    <s v="2023-05-02 18:47:03"/>
    <n v="10"/>
    <x v="16"/>
    <x v="3"/>
    <x v="1"/>
    <n v="11"/>
    <n v="0"/>
    <s v="Unnamed ProjectType4.NumberOutNumber OutEntity"/>
    <n v="10"/>
    <n v="11.4"/>
    <n v="1.8378731669453656"/>
    <n v="0.95"/>
    <n v="1.3147352622725437"/>
    <n v="8"/>
    <n v="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5">
        <item m="1" x="26"/>
        <item m="1" x="17"/>
        <item m="1" x="33"/>
        <item m="1" x="42"/>
        <item m="1" x="55"/>
        <item m="1" x="54"/>
        <item m="1" x="18"/>
        <item m="1" x="119"/>
        <item m="1" x="97"/>
        <item m="1" x="60"/>
        <item m="1" x="47"/>
        <item m="1" x="51"/>
        <item m="1" x="133"/>
        <item m="1" x="36"/>
        <item m="1" x="118"/>
        <item m="1" x="40"/>
        <item m="1" x="91"/>
        <item m="1" x="105"/>
        <item m="1" x="15"/>
        <item m="1" x="41"/>
        <item m="1" x="128"/>
        <item m="1" x="30"/>
        <item m="1" x="120"/>
        <item m="1" x="19"/>
        <item m="1" x="46"/>
        <item m="1" x="72"/>
        <item m="1" x="16"/>
        <item m="1" x="22"/>
        <item m="1" x="92"/>
        <item m="1" x="73"/>
        <item m="1" x="107"/>
        <item m="1" x="63"/>
        <item m="1" x="27"/>
        <item m="1" x="57"/>
        <item m="1" x="93"/>
        <item m="1" x="78"/>
        <item m="1" x="28"/>
        <item m="1" x="38"/>
        <item m="1" x="100"/>
        <item m="1" x="14"/>
        <item m="1" x="127"/>
        <item m="1" x="85"/>
        <item m="1" x="25"/>
        <item m="1" x="110"/>
        <item m="1" x="56"/>
        <item m="1" x="129"/>
        <item m="1" x="90"/>
        <item m="1" x="32"/>
        <item m="1" x="77"/>
        <item m="1" x="96"/>
        <item m="1" x="109"/>
        <item m="1" x="117"/>
        <item m="1" x="126"/>
        <item m="1" x="13"/>
        <item m="1" x="31"/>
        <item m="1" x="45"/>
        <item m="1" x="34"/>
        <item m="1" x="12"/>
        <item m="1" x="106"/>
        <item m="1" x="123"/>
        <item m="1" x="49"/>
        <item m="1" x="84"/>
        <item m="1" x="37"/>
        <item m="1" x="58"/>
        <item m="1" x="43"/>
        <item m="1" x="67"/>
        <item m="1" x="52"/>
        <item m="1" x="74"/>
        <item m="1" x="59"/>
        <item m="1" x="86"/>
        <item m="1" x="68"/>
        <item m="1" x="94"/>
        <item m="1" x="75"/>
        <item m="1" x="103"/>
        <item m="1" x="87"/>
        <item m="1" x="108"/>
        <item m="1" x="95"/>
        <item m="1" x="112"/>
        <item m="1" x="124"/>
        <item m="1" x="114"/>
        <item m="1" x="98"/>
        <item m="1" x="71"/>
        <item m="1" x="50"/>
        <item m="1" x="65"/>
        <item m="1" x="29"/>
        <item m="1" x="35"/>
        <item m="1" x="44"/>
        <item m="1" x="48"/>
        <item m="1" x="80"/>
        <item m="1" x="125"/>
        <item m="1" x="115"/>
        <item m="1" x="99"/>
        <item m="1" x="66"/>
        <item m="1" x="134"/>
        <item m="1" x="82"/>
        <item m="1" x="70"/>
        <item m="1" x="102"/>
        <item m="1" x="83"/>
        <item m="1" x="62"/>
        <item m="1" x="69"/>
        <item m="1" x="23"/>
        <item m="1" x="88"/>
        <item m="1" x="104"/>
        <item m="1" x="113"/>
        <item m="1" x="121"/>
        <item m="1" x="132"/>
        <item m="1" x="20"/>
        <item m="1" x="39"/>
        <item m="1" x="131"/>
        <item m="1" x="21"/>
        <item m="1" x="89"/>
        <item m="1" x="64"/>
        <item m="1" x="79"/>
        <item m="1" x="24"/>
        <item m="1" x="130"/>
        <item m="1" x="111"/>
        <item m="1" x="61"/>
        <item m="1" x="122"/>
        <item m="1" x="81"/>
        <item m="1" x="101"/>
        <item m="1" x="116"/>
        <item m="1" x="53"/>
        <item m="1" x="76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 v="4"/>
      <x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4"/>
      <x/>
    </i>
    <i r="1">
      <x v="132"/>
      <x v="4"/>
      <x/>
    </i>
    <i r="1">
      <x v="133"/>
      <x v="4"/>
      <x/>
    </i>
    <i r="1">
      <x v="13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3">
        <item m="1" x="12"/>
        <item x="2"/>
        <item x="3"/>
        <item x="4"/>
        <item x="5"/>
        <item x="6"/>
        <item x="7"/>
        <item x="0"/>
        <item m="1" x="9"/>
        <item m="1" x="10"/>
        <item m="1" x="11"/>
        <item m="1" x="8"/>
        <item x="1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1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12"/>
      <x v="2"/>
    </i>
    <i r="1">
      <x v="103"/>
      <x v="12"/>
      <x v="2"/>
    </i>
    <i r="1">
      <x v="104"/>
      <x v="12"/>
      <x v="2"/>
    </i>
    <i r="1">
      <x v="105"/>
      <x v="12"/>
      <x v="2"/>
    </i>
    <i r="1">
      <x v="106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8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m="1" x="42"/>
        <item m="1" x="18"/>
        <item m="1" x="43"/>
        <item m="1" x="19"/>
        <item m="1" x="44"/>
        <item m="1" x="20"/>
        <item m="1" x="45"/>
        <item m="1" x="21"/>
        <item m="1" x="77"/>
        <item m="1" x="32"/>
        <item x="8"/>
        <item m="1" x="76"/>
        <item m="1" x="63"/>
        <item m="1" x="80"/>
        <item m="1" x="65"/>
        <item m="1" x="81"/>
        <item m="1" x="88"/>
        <item m="1" x="57"/>
        <item m="1" x="25"/>
        <item m="1" x="74"/>
        <item m="1" x="64"/>
        <item m="1" x="62"/>
        <item m="1" x="28"/>
        <item m="1" x="72"/>
        <item m="1" x="37"/>
        <item m="1" x="73"/>
        <item m="1" x="38"/>
        <item m="1" x="71"/>
        <item m="1" x="91"/>
        <item m="1" x="31"/>
        <item m="1" x="94"/>
        <item m="1" x="59"/>
        <item m="1" x="26"/>
        <item m="1" x="89"/>
        <item m="1" x="84"/>
        <item m="1" x="60"/>
        <item m="1" x="27"/>
        <item m="1" x="90"/>
        <item m="1" x="85"/>
        <item m="1" x="22"/>
        <item m="1" x="56"/>
        <item m="1" x="40"/>
        <item m="1" x="30"/>
        <item m="1" x="82"/>
        <item m="1" x="52"/>
        <item m="1" x="83"/>
        <item m="1" x="53"/>
        <item m="1" x="39"/>
        <item m="1" x="34"/>
        <item m="1" x="61"/>
        <item m="1" x="36"/>
        <item m="1" x="93"/>
        <item m="1" x="86"/>
        <item m="1" x="35"/>
        <item m="1" x="33"/>
        <item m="1" x="78"/>
        <item m="1" x="87"/>
        <item m="1" x="23"/>
        <item m="1" x="41"/>
        <item m="1" x="54"/>
        <item m="1" x="75"/>
        <item m="1" x="92"/>
        <item m="1" x="24"/>
        <item m="1" x="51"/>
        <item m="1" x="55"/>
        <item m="1" x="79"/>
        <item m="1" x="58"/>
        <item m="1" x="29"/>
        <item m="1" x="46"/>
        <item m="1" x="66"/>
        <item m="1" x="47"/>
        <item m="1" x="67"/>
        <item m="1" x="48"/>
        <item m="1" x="68"/>
        <item m="1" x="49"/>
        <item m="1" x="69"/>
        <item m="1" x="50"/>
        <item m="1" x="70"/>
        <item m="1" x="17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/>
      <x/>
    </i>
    <i r="1">
      <x v="86"/>
      <x v="1"/>
      <x/>
    </i>
    <i r="1">
      <x v="87"/>
      <x/>
      <x/>
    </i>
    <i r="1">
      <x v="88"/>
      <x v="1"/>
      <x/>
    </i>
    <i r="1">
      <x v="89"/>
      <x/>
      <x/>
    </i>
    <i r="1">
      <x v="90"/>
      <x v="1"/>
      <x/>
    </i>
    <i r="1">
      <x v="91"/>
      <x/>
      <x/>
    </i>
    <i r="1">
      <x v="92"/>
      <x v="1"/>
      <x/>
    </i>
    <i r="1">
      <x v="93"/>
      <x/>
      <x/>
    </i>
    <i r="1">
      <x v="9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11" tableType="queryTable" totalsRowShown="0">
  <autoFilter ref="A1:Y311" xr:uid="{C3D003CA-1AFF-426C-A03D-D3AF5760DF1A}"/>
  <sortState xmlns:xlrd2="http://schemas.microsoft.com/office/spreadsheetml/2017/richdata2" ref="A2:Y311">
    <sortCondition ref="D1:D3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5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5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4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44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71" tableType="queryTable" totalsRowShown="0">
  <autoFilter ref="A1:U17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1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0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59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58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57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56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71" tableType="queryTable" totalsRowShown="0">
  <autoFilter ref="A1:P17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8671875" defaultRowHeight="14.4" x14ac:dyDescent="0.3"/>
  <cols>
    <col min="1" max="1" width="15.109375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10</v>
      </c>
      <c r="F2">
        <v>480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3"/>
  <sheetViews>
    <sheetView tabSelected="1" workbookViewId="0"/>
  </sheetViews>
  <sheetFormatPr baseColWidth="10" defaultColWidth="8.88671875"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5546875" bestFit="1" customWidth="1"/>
    <col min="6" max="6" width="19.44140625" bestFit="1" customWidth="1"/>
    <col min="7" max="7" width="12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bestFit="1" customWidth="1"/>
    <col min="20" max="20" width="12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0" bestFit="1" customWidth="1"/>
    <col min="31" max="31" width="24.5546875" bestFit="1" customWidth="1"/>
    <col min="32" max="32" width="10.109375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2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5.741260570072102</v>
      </c>
      <c r="F3" s="5">
        <v>1</v>
      </c>
      <c r="G3" s="5">
        <v>2.6138608719587877</v>
      </c>
      <c r="H3" s="5">
        <v>3.6539255442177514</v>
      </c>
      <c r="I3" s="5">
        <v>1.63324091273426</v>
      </c>
      <c r="J3" s="5">
        <v>14.1000361838224</v>
      </c>
      <c r="K3" s="5">
        <v>0</v>
      </c>
      <c r="L3" s="5">
        <v>33.782040595515802</v>
      </c>
      <c r="M3" s="5">
        <v>35</v>
      </c>
      <c r="O3" t="s">
        <v>66</v>
      </c>
      <c r="P3" t="s">
        <v>91</v>
      </c>
      <c r="Q3" t="s">
        <v>92</v>
      </c>
      <c r="R3" t="s">
        <v>93</v>
      </c>
      <c r="S3" s="5">
        <v>0.83106107177752264</v>
      </c>
      <c r="T3" s="5">
        <v>4.617487688207024E-2</v>
      </c>
      <c r="U3" s="5">
        <v>6.4548027001173278E-2</v>
      </c>
      <c r="V3" s="5">
        <v>0.70923148168898098</v>
      </c>
      <c r="W3" s="5">
        <v>0.92513911074198196</v>
      </c>
      <c r="X3" s="5">
        <v>0</v>
      </c>
      <c r="Y3" s="5">
        <v>1</v>
      </c>
      <c r="AA3" t="s">
        <v>123</v>
      </c>
      <c r="AB3" t="s">
        <v>123</v>
      </c>
      <c r="AC3" t="s">
        <v>123</v>
      </c>
      <c r="AD3" t="s">
        <v>123</v>
      </c>
      <c r="AE3" s="5"/>
      <c r="AF3" s="5"/>
      <c r="AG3" s="5"/>
      <c r="AH3" s="5"/>
      <c r="AI3" s="5"/>
      <c r="AK3" t="s">
        <v>66</v>
      </c>
      <c r="AL3" t="s">
        <v>113</v>
      </c>
      <c r="AM3" t="s">
        <v>112</v>
      </c>
      <c r="AN3" t="s">
        <v>114</v>
      </c>
      <c r="AO3" s="5">
        <v>42.6</v>
      </c>
      <c r="AP3" s="5">
        <v>0.76898556772811566</v>
      </c>
      <c r="AQ3" s="5">
        <v>1.0749676997731399</v>
      </c>
      <c r="AR3" s="5">
        <v>41</v>
      </c>
      <c r="AS3" s="5">
        <v>44</v>
      </c>
      <c r="AU3" t="s">
        <v>123</v>
      </c>
      <c r="AV3" t="s">
        <v>123</v>
      </c>
      <c r="AW3" t="s">
        <v>123</v>
      </c>
      <c r="AX3" t="s">
        <v>123</v>
      </c>
      <c r="AY3" s="4"/>
      <c r="AZ3" s="4"/>
    </row>
    <row r="4" spans="1:52" x14ac:dyDescent="0.3">
      <c r="B4" t="s">
        <v>72</v>
      </c>
      <c r="C4" t="s">
        <v>70</v>
      </c>
      <c r="D4" t="s">
        <v>71</v>
      </c>
      <c r="E4" s="5">
        <v>8.0161019761068228</v>
      </c>
      <c r="F4" s="5">
        <v>1</v>
      </c>
      <c r="G4" s="5">
        <v>3.3866563008134714</v>
      </c>
      <c r="H4" s="5">
        <v>4.7342190626064236</v>
      </c>
      <c r="I4" s="5">
        <v>2.3721091498436899</v>
      </c>
      <c r="J4" s="5">
        <v>18.2829789769605</v>
      </c>
      <c r="K4" s="5">
        <v>0</v>
      </c>
      <c r="L4" s="5">
        <v>43.092738224866899</v>
      </c>
      <c r="M4" s="5">
        <v>33.4</v>
      </c>
      <c r="Q4" t="s">
        <v>94</v>
      </c>
      <c r="R4" t="s">
        <v>93</v>
      </c>
      <c r="S4" s="5">
        <v>0.83106107177752264</v>
      </c>
      <c r="T4" s="5">
        <v>4.617487688207024E-2</v>
      </c>
      <c r="U4" s="5">
        <v>6.4548027001173278E-2</v>
      </c>
      <c r="V4" s="5">
        <v>0.70923148168898098</v>
      </c>
      <c r="W4" s="5">
        <v>0.92513911074198196</v>
      </c>
      <c r="X4" s="5">
        <v>0</v>
      </c>
      <c r="Y4" s="5">
        <v>1</v>
      </c>
      <c r="AL4" t="s">
        <v>101</v>
      </c>
      <c r="AM4" t="s">
        <v>102</v>
      </c>
      <c r="AN4" t="s">
        <v>93</v>
      </c>
      <c r="AO4" s="5">
        <v>35</v>
      </c>
      <c r="AP4" s="5">
        <v>1.2617709812339966</v>
      </c>
      <c r="AQ4" s="5">
        <v>1.7638342073763937</v>
      </c>
      <c r="AR4" s="5">
        <v>32</v>
      </c>
      <c r="AS4" s="5">
        <v>37</v>
      </c>
    </row>
    <row r="5" spans="1:52" x14ac:dyDescent="0.3">
      <c r="B5" t="s">
        <v>73</v>
      </c>
      <c r="C5" t="s">
        <v>70</v>
      </c>
      <c r="D5" t="s">
        <v>71</v>
      </c>
      <c r="E5" s="5">
        <v>8.3421314716441763</v>
      </c>
      <c r="F5" s="5">
        <v>1</v>
      </c>
      <c r="G5" s="5">
        <v>2.8173843603540285</v>
      </c>
      <c r="H5" s="5">
        <v>3.9384317629968666</v>
      </c>
      <c r="I5" s="5">
        <v>3.1027728210408898</v>
      </c>
      <c r="J5" s="5">
        <v>15.5344661616934</v>
      </c>
      <c r="K5" s="5">
        <v>0</v>
      </c>
      <c r="L5" s="5">
        <v>41.275755192244297</v>
      </c>
      <c r="M5" s="5">
        <v>32.6</v>
      </c>
      <c r="Q5" t="s">
        <v>95</v>
      </c>
      <c r="R5" t="s">
        <v>93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103</v>
      </c>
      <c r="AM5" t="s">
        <v>104</v>
      </c>
      <c r="AN5" t="s">
        <v>93</v>
      </c>
      <c r="AO5" s="5">
        <v>0.83106107177752264</v>
      </c>
      <c r="AP5" s="5">
        <v>4.617487688207024E-2</v>
      </c>
      <c r="AQ5" s="5">
        <v>6.4548027001173278E-2</v>
      </c>
      <c r="AR5" s="5">
        <v>0.70923148168898098</v>
      </c>
      <c r="AS5" s="5">
        <v>0.92513911074198196</v>
      </c>
    </row>
    <row r="6" spans="1:52" x14ac:dyDescent="0.3">
      <c r="B6" t="s">
        <v>74</v>
      </c>
      <c r="C6" t="s">
        <v>75</v>
      </c>
      <c r="D6" t="s">
        <v>76</v>
      </c>
      <c r="E6" s="5">
        <v>46.782687634168497</v>
      </c>
      <c r="F6" s="5">
        <v>1</v>
      </c>
      <c r="G6" s="5">
        <v>4.2356487792701722</v>
      </c>
      <c r="H6" s="5">
        <v>5.9210287115671854</v>
      </c>
      <c r="I6" s="5">
        <v>38.244117897627703</v>
      </c>
      <c r="J6" s="5">
        <v>59.445484583842699</v>
      </c>
      <c r="K6" s="5">
        <v>26.9877163177472</v>
      </c>
      <c r="L6" s="5">
        <v>74.063595201744505</v>
      </c>
      <c r="M6" s="5">
        <v>11.1</v>
      </c>
      <c r="P6" t="s">
        <v>96</v>
      </c>
      <c r="Q6" t="s">
        <v>92</v>
      </c>
      <c r="R6" t="s">
        <v>93</v>
      </c>
      <c r="S6" s="5">
        <v>0.84520971658291411</v>
      </c>
      <c r="T6" s="5">
        <v>4.3798869913993184E-2</v>
      </c>
      <c r="U6" s="5">
        <v>6.1226598287413884E-2</v>
      </c>
      <c r="V6" s="5">
        <v>0.71728584076343305</v>
      </c>
      <c r="W6" s="5">
        <v>0.91938608785018705</v>
      </c>
      <c r="X6" s="5">
        <v>0</v>
      </c>
      <c r="Y6" s="5">
        <v>1</v>
      </c>
      <c r="AL6" t="s">
        <v>105</v>
      </c>
      <c r="AM6" t="s">
        <v>102</v>
      </c>
      <c r="AN6" t="s">
        <v>93</v>
      </c>
      <c r="AO6" s="5">
        <v>33.4</v>
      </c>
      <c r="AP6" s="5">
        <v>1.8531901736184344</v>
      </c>
      <c r="AQ6" s="5">
        <v>2.5905812303633931</v>
      </c>
      <c r="AR6" s="5">
        <v>29</v>
      </c>
      <c r="AS6" s="5">
        <v>37</v>
      </c>
    </row>
    <row r="7" spans="1:52" x14ac:dyDescent="0.3">
      <c r="B7" t="s">
        <v>77</v>
      </c>
      <c r="C7" t="s">
        <v>75</v>
      </c>
      <c r="D7" t="s">
        <v>76</v>
      </c>
      <c r="E7" s="5">
        <v>70.135489387108677</v>
      </c>
      <c r="F7" s="5">
        <v>1</v>
      </c>
      <c r="G7" s="5">
        <v>3.4664206039329009</v>
      </c>
      <c r="H7" s="5">
        <v>4.8457218697418316</v>
      </c>
      <c r="I7" s="5">
        <v>60.103381078758702</v>
      </c>
      <c r="J7" s="5">
        <v>76.946426748085798</v>
      </c>
      <c r="K7" s="5">
        <v>43.060314991725399</v>
      </c>
      <c r="L7" s="5">
        <v>119.281368492802</v>
      </c>
      <c r="M7" s="5">
        <v>9.1</v>
      </c>
      <c r="Q7" t="s">
        <v>94</v>
      </c>
      <c r="R7" t="s">
        <v>93</v>
      </c>
      <c r="S7" s="5">
        <v>0.84520971658291411</v>
      </c>
      <c r="T7" s="5">
        <v>4.3798869913993184E-2</v>
      </c>
      <c r="U7" s="5">
        <v>6.1226598287413884E-2</v>
      </c>
      <c r="V7" s="5">
        <v>0.71728584076343305</v>
      </c>
      <c r="W7" s="5">
        <v>0.91938608785018705</v>
      </c>
      <c r="X7" s="5">
        <v>0</v>
      </c>
      <c r="Y7" s="5">
        <v>1</v>
      </c>
      <c r="AL7" t="s">
        <v>106</v>
      </c>
      <c r="AM7" t="s">
        <v>104</v>
      </c>
      <c r="AN7" t="s">
        <v>93</v>
      </c>
      <c r="AO7" s="5">
        <v>0.84520971658291411</v>
      </c>
      <c r="AP7" s="5">
        <v>4.3798869913993184E-2</v>
      </c>
      <c r="AQ7" s="5">
        <v>6.1226598287413884E-2</v>
      </c>
      <c r="AR7" s="5">
        <v>0.71728584076343305</v>
      </c>
      <c r="AS7" s="5">
        <v>0.91938608785018705</v>
      </c>
    </row>
    <row r="8" spans="1:52" x14ac:dyDescent="0.3">
      <c r="B8" t="s">
        <v>78</v>
      </c>
      <c r="C8" t="s">
        <v>75</v>
      </c>
      <c r="D8" t="s">
        <v>76</v>
      </c>
      <c r="E8" s="5">
        <v>41.480245301861984</v>
      </c>
      <c r="F8" s="5">
        <v>1</v>
      </c>
      <c r="G8" s="5">
        <v>4.8323100123655722</v>
      </c>
      <c r="H8" s="5">
        <v>6.7551036021783171</v>
      </c>
      <c r="I8" s="5">
        <v>33.521703094146403</v>
      </c>
      <c r="J8" s="5">
        <v>53.188885435375902</v>
      </c>
      <c r="K8" s="5">
        <v>24.599315398531001</v>
      </c>
      <c r="L8" s="5">
        <v>78.499597813463097</v>
      </c>
      <c r="M8" s="5">
        <v>11</v>
      </c>
      <c r="Q8" t="s">
        <v>95</v>
      </c>
      <c r="R8" t="s">
        <v>93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107</v>
      </c>
      <c r="AM8" t="s">
        <v>102</v>
      </c>
      <c r="AN8" t="s">
        <v>93</v>
      </c>
      <c r="AO8" s="5">
        <v>32.6</v>
      </c>
      <c r="AP8" s="5">
        <v>1.8222499331724646</v>
      </c>
      <c r="AQ8" s="5">
        <v>2.5473297566057069</v>
      </c>
      <c r="AR8" s="5">
        <v>29</v>
      </c>
      <c r="AS8" s="5">
        <v>37</v>
      </c>
    </row>
    <row r="9" spans="1:52" x14ac:dyDescent="0.3">
      <c r="B9" t="s">
        <v>79</v>
      </c>
      <c r="C9" t="s">
        <v>75</v>
      </c>
      <c r="D9" t="s">
        <v>76</v>
      </c>
      <c r="E9" s="5">
        <v>50.580256818777187</v>
      </c>
      <c r="F9" s="5">
        <v>1</v>
      </c>
      <c r="G9" s="5">
        <v>4.0954260439988062</v>
      </c>
      <c r="H9" s="5">
        <v>5.7250108439810763</v>
      </c>
      <c r="I9" s="5">
        <v>43.309307456693901</v>
      </c>
      <c r="J9" s="5">
        <v>57.852123951402099</v>
      </c>
      <c r="K9" s="5">
        <v>30.9310144170956</v>
      </c>
      <c r="L9" s="5">
        <v>96.993071741156299</v>
      </c>
      <c r="M9" s="5">
        <v>11.4</v>
      </c>
      <c r="P9" t="s">
        <v>97</v>
      </c>
      <c r="Q9" t="s">
        <v>92</v>
      </c>
      <c r="R9" t="s">
        <v>93</v>
      </c>
      <c r="S9" s="5">
        <v>0.77733493379426299</v>
      </c>
      <c r="T9" s="5">
        <v>4.8321681102076373E-2</v>
      </c>
      <c r="U9" s="5">
        <v>6.75490523663973E-2</v>
      </c>
      <c r="V9" s="5">
        <v>0.69586636126078405</v>
      </c>
      <c r="W9" s="5">
        <v>0.89372434220669095</v>
      </c>
      <c r="X9" s="5">
        <v>0</v>
      </c>
      <c r="Y9" s="5">
        <v>1</v>
      </c>
      <c r="AL9" t="s">
        <v>108</v>
      </c>
      <c r="AM9" t="s">
        <v>104</v>
      </c>
      <c r="AN9" t="s">
        <v>93</v>
      </c>
      <c r="AO9" s="5">
        <v>0.77733493379426299</v>
      </c>
      <c r="AP9" s="5">
        <v>4.8321681102076373E-2</v>
      </c>
      <c r="AQ9" s="5">
        <v>6.75490523663973E-2</v>
      </c>
      <c r="AR9" s="5">
        <v>0.69586636126078405</v>
      </c>
      <c r="AS9" s="5">
        <v>0.89372434220669095</v>
      </c>
    </row>
    <row r="10" spans="1:52" x14ac:dyDescent="0.3">
      <c r="B10" t="s">
        <v>80</v>
      </c>
      <c r="C10" t="s">
        <v>81</v>
      </c>
      <c r="D10" t="s">
        <v>82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11.1</v>
      </c>
      <c r="Q10" t="s">
        <v>94</v>
      </c>
      <c r="R10" t="s">
        <v>93</v>
      </c>
      <c r="S10" s="5">
        <v>0.77733493379426299</v>
      </c>
      <c r="T10" s="5">
        <v>4.8321681102076373E-2</v>
      </c>
      <c r="U10" s="5">
        <v>6.75490523663973E-2</v>
      </c>
      <c r="V10" s="5">
        <v>0.69586636126078405</v>
      </c>
      <c r="W10" s="5">
        <v>0.89372434220669095</v>
      </c>
      <c r="X10" s="5">
        <v>0</v>
      </c>
      <c r="Y10" s="5">
        <v>1</v>
      </c>
      <c r="AL10" t="s">
        <v>109</v>
      </c>
      <c r="AM10" t="s">
        <v>110</v>
      </c>
      <c r="AN10" t="s">
        <v>82</v>
      </c>
      <c r="AO10" s="5">
        <v>49</v>
      </c>
      <c r="AP10" s="5">
        <v>0</v>
      </c>
      <c r="AQ10" s="5">
        <v>0</v>
      </c>
      <c r="AR10" s="5">
        <v>49</v>
      </c>
      <c r="AS10" s="5">
        <v>49</v>
      </c>
    </row>
    <row r="11" spans="1:52" x14ac:dyDescent="0.3">
      <c r="C11" t="s">
        <v>83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11.1</v>
      </c>
      <c r="Q11" t="s">
        <v>95</v>
      </c>
      <c r="R11" t="s">
        <v>93</v>
      </c>
      <c r="S11" s="5">
        <v>1</v>
      </c>
      <c r="T11" s="5">
        <v>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111</v>
      </c>
      <c r="AM11" t="s">
        <v>112</v>
      </c>
      <c r="AN11" t="s">
        <v>82</v>
      </c>
      <c r="AO11" s="5">
        <v>49</v>
      </c>
      <c r="AP11" s="5">
        <v>0</v>
      </c>
      <c r="AQ11" s="5">
        <v>0</v>
      </c>
      <c r="AR11" s="5">
        <v>49</v>
      </c>
      <c r="AS11" s="5">
        <v>49</v>
      </c>
    </row>
    <row r="12" spans="1:52" x14ac:dyDescent="0.3">
      <c r="C12" t="s">
        <v>84</v>
      </c>
      <c r="D12" t="s">
        <v>82</v>
      </c>
      <c r="E12" s="5">
        <v>46.782687634168497</v>
      </c>
      <c r="F12" s="5">
        <v>1</v>
      </c>
      <c r="G12" s="5">
        <v>4.2356487792701722</v>
      </c>
      <c r="H12" s="5">
        <v>5.9210287115671854</v>
      </c>
      <c r="I12" s="5">
        <v>38.244117897627703</v>
      </c>
      <c r="J12" s="5">
        <v>59.445484583842699</v>
      </c>
      <c r="K12" s="5">
        <v>26.9877163177472</v>
      </c>
      <c r="L12" s="5">
        <v>74.063595201744505</v>
      </c>
      <c r="M12" s="5">
        <v>11.1</v>
      </c>
      <c r="P12" t="s">
        <v>98</v>
      </c>
      <c r="Q12" t="s">
        <v>99</v>
      </c>
      <c r="R12" t="s">
        <v>82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AL12" t="s">
        <v>115</v>
      </c>
      <c r="AM12" t="s">
        <v>110</v>
      </c>
      <c r="AN12" t="s">
        <v>82</v>
      </c>
      <c r="AO12" s="5">
        <v>12.5</v>
      </c>
      <c r="AP12" s="5">
        <v>2.0856058531801596</v>
      </c>
      <c r="AQ12" s="5">
        <v>2.9154759474226504</v>
      </c>
      <c r="AR12" s="5">
        <v>9</v>
      </c>
      <c r="AS12" s="5">
        <v>18</v>
      </c>
    </row>
    <row r="13" spans="1:52" x14ac:dyDescent="0.3">
      <c r="C13" t="s">
        <v>85</v>
      </c>
      <c r="D13" t="s">
        <v>82</v>
      </c>
      <c r="E13" s="5">
        <v>9</v>
      </c>
      <c r="F13" s="5">
        <v>1</v>
      </c>
      <c r="G13" s="5">
        <v>0</v>
      </c>
      <c r="H13" s="5">
        <v>0</v>
      </c>
      <c r="I13" s="5">
        <v>9</v>
      </c>
      <c r="J13" s="5">
        <v>9</v>
      </c>
      <c r="K13" s="5">
        <v>9</v>
      </c>
      <c r="L13" s="5">
        <v>9.0000000000000107</v>
      </c>
      <c r="M13" s="5">
        <v>11.1</v>
      </c>
      <c r="P13" t="s">
        <v>69</v>
      </c>
      <c r="Q13" t="s">
        <v>100</v>
      </c>
      <c r="R13" t="s">
        <v>71</v>
      </c>
      <c r="S13" s="5">
        <v>0.43792308527159668</v>
      </c>
      <c r="T13" s="5">
        <v>0.21814478487117156</v>
      </c>
      <c r="U13" s="5">
        <v>0.30494538187923392</v>
      </c>
      <c r="V13" s="5">
        <v>0.112285312750481</v>
      </c>
      <c r="W13" s="5">
        <v>1.1577111225029799</v>
      </c>
      <c r="X13" s="5">
        <v>0</v>
      </c>
      <c r="Y13" s="5">
        <v>3</v>
      </c>
      <c r="AL13" t="s">
        <v>116</v>
      </c>
      <c r="AM13" t="s">
        <v>112</v>
      </c>
      <c r="AN13" t="s">
        <v>82</v>
      </c>
      <c r="AO13" s="5">
        <v>11.1</v>
      </c>
      <c r="AP13" s="5">
        <v>1.8911537669917318</v>
      </c>
      <c r="AQ13" s="5">
        <v>2.6436506745197819</v>
      </c>
      <c r="AR13" s="5">
        <v>8</v>
      </c>
      <c r="AS13" s="5">
        <v>16</v>
      </c>
    </row>
    <row r="14" spans="1:52" x14ac:dyDescent="0.3">
      <c r="C14" t="s">
        <v>86</v>
      </c>
      <c r="D14" t="s">
        <v>82</v>
      </c>
      <c r="E14" s="5">
        <v>23.77506534516731</v>
      </c>
      <c r="F14" s="5">
        <v>1</v>
      </c>
      <c r="G14" s="5">
        <v>0.72432222098411403</v>
      </c>
      <c r="H14" s="5">
        <v>1.0125326462058606</v>
      </c>
      <c r="I14" s="5">
        <v>21.581816415042301</v>
      </c>
      <c r="J14" s="5">
        <v>25.037450103809601</v>
      </c>
      <c r="K14" s="5">
        <v>14.998916247217</v>
      </c>
      <c r="L14" s="5">
        <v>33.7961547858594</v>
      </c>
      <c r="M14" s="5">
        <v>11.1</v>
      </c>
      <c r="P14" t="s">
        <v>72</v>
      </c>
      <c r="Q14" t="s">
        <v>100</v>
      </c>
      <c r="R14" t="s">
        <v>71</v>
      </c>
      <c r="S14" s="5">
        <v>0.60393686699330529</v>
      </c>
      <c r="T14" s="5">
        <v>0.28551832117895298</v>
      </c>
      <c r="U14" s="5">
        <v>0.39912709138039898</v>
      </c>
      <c r="V14" s="5">
        <v>0.14331492780305599</v>
      </c>
      <c r="W14" s="5">
        <v>1.4544545357388801</v>
      </c>
      <c r="X14" s="5">
        <v>0</v>
      </c>
      <c r="Y14" s="5">
        <v>4</v>
      </c>
      <c r="AL14" t="s">
        <v>117</v>
      </c>
      <c r="AM14" t="s">
        <v>110</v>
      </c>
      <c r="AN14" t="s">
        <v>82</v>
      </c>
      <c r="AO14" s="5">
        <v>11.3</v>
      </c>
      <c r="AP14" s="5">
        <v>1.218208914130811</v>
      </c>
      <c r="AQ14" s="5">
        <v>1.7029386365926371</v>
      </c>
      <c r="AR14" s="5">
        <v>9</v>
      </c>
      <c r="AS14" s="5">
        <v>14</v>
      </c>
    </row>
    <row r="15" spans="1:52" x14ac:dyDescent="0.3">
      <c r="C15" t="s">
        <v>87</v>
      </c>
      <c r="D15" t="s">
        <v>82</v>
      </c>
      <c r="E15" s="5">
        <v>14.007622289001173</v>
      </c>
      <c r="F15" s="5">
        <v>1</v>
      </c>
      <c r="G15" s="5">
        <v>3.9549668209581639</v>
      </c>
      <c r="H15" s="5">
        <v>5.5286623892890034</v>
      </c>
      <c r="I15" s="5">
        <v>5.5973546894127502</v>
      </c>
      <c r="J15" s="5">
        <v>25.950419734396998</v>
      </c>
      <c r="K15" s="5">
        <v>0</v>
      </c>
      <c r="L15" s="5">
        <v>41.275755192244297</v>
      </c>
      <c r="M15" s="5">
        <v>11.1</v>
      </c>
      <c r="P15" t="s">
        <v>73</v>
      </c>
      <c r="Q15" t="s">
        <v>100</v>
      </c>
      <c r="R15" t="s">
        <v>71</v>
      </c>
      <c r="S15" s="5">
        <v>0.59306304553133327</v>
      </c>
      <c r="T15" s="5">
        <v>0.22870353772187338</v>
      </c>
      <c r="U15" s="5">
        <v>0.31970550058721603</v>
      </c>
      <c r="V15" s="5">
        <v>0.21331563144656099</v>
      </c>
      <c r="W15" s="5">
        <v>1.22637838136578</v>
      </c>
      <c r="X15" s="5">
        <v>0</v>
      </c>
      <c r="Y15" s="5">
        <v>4</v>
      </c>
      <c r="AL15" t="s">
        <v>118</v>
      </c>
      <c r="AM15" t="s">
        <v>112</v>
      </c>
      <c r="AN15" t="s">
        <v>82</v>
      </c>
      <c r="AO15" s="5">
        <v>9.1</v>
      </c>
      <c r="AP15" s="5">
        <v>0.98026810387922136</v>
      </c>
      <c r="AQ15" s="5">
        <v>1.3703203194062967</v>
      </c>
      <c r="AR15" s="5">
        <v>7</v>
      </c>
      <c r="AS15" s="5">
        <v>12</v>
      </c>
    </row>
    <row r="16" spans="1:52" x14ac:dyDescent="0.3">
      <c r="B16" t="s">
        <v>88</v>
      </c>
      <c r="C16" t="s">
        <v>81</v>
      </c>
      <c r="D16" t="s">
        <v>82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9.1</v>
      </c>
      <c r="P16" t="s">
        <v>80</v>
      </c>
      <c r="Q16" t="s">
        <v>99</v>
      </c>
      <c r="R16" t="s">
        <v>82</v>
      </c>
      <c r="S16" s="5">
        <v>1.1736984271872108</v>
      </c>
      <c r="T16" s="5">
        <v>0.28423495041220082</v>
      </c>
      <c r="U16" s="5">
        <v>0.39733306275491065</v>
      </c>
      <c r="V16" s="5">
        <v>0.73791054391385202</v>
      </c>
      <c r="W16" s="5">
        <v>2.0648494861280899</v>
      </c>
      <c r="X16" s="5">
        <v>0</v>
      </c>
      <c r="Y16" s="5">
        <v>4</v>
      </c>
      <c r="AL16" t="s">
        <v>119</v>
      </c>
      <c r="AM16" t="s">
        <v>110</v>
      </c>
      <c r="AN16" t="s">
        <v>82</v>
      </c>
      <c r="AO16" s="5">
        <v>12.7</v>
      </c>
      <c r="AP16" s="5">
        <v>1.9677733538428845</v>
      </c>
      <c r="AQ16" s="5">
        <v>2.7507574714370326</v>
      </c>
      <c r="AR16" s="5">
        <v>8</v>
      </c>
      <c r="AS16" s="5">
        <v>17</v>
      </c>
    </row>
    <row r="17" spans="2:45" x14ac:dyDescent="0.3">
      <c r="C17" t="s">
        <v>83</v>
      </c>
      <c r="D17" t="s">
        <v>82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9.1</v>
      </c>
      <c r="P17" t="s">
        <v>88</v>
      </c>
      <c r="Q17" t="s">
        <v>99</v>
      </c>
      <c r="R17" t="s">
        <v>82</v>
      </c>
      <c r="S17" s="5">
        <v>1.5182288080990141</v>
      </c>
      <c r="T17" s="5">
        <v>0.2005202009511077</v>
      </c>
      <c r="U17" s="5">
        <v>0.28030791242452985</v>
      </c>
      <c r="V17" s="5">
        <v>1.2311050618933901</v>
      </c>
      <c r="W17" s="5">
        <v>2.06949400203548</v>
      </c>
      <c r="X17" s="5">
        <v>0</v>
      </c>
      <c r="Y17" s="5">
        <v>6</v>
      </c>
      <c r="AL17" t="s">
        <v>120</v>
      </c>
      <c r="AM17" t="s">
        <v>112</v>
      </c>
      <c r="AN17" t="s">
        <v>82</v>
      </c>
      <c r="AO17" s="5">
        <v>11</v>
      </c>
      <c r="AP17" s="5">
        <v>1.508104775198803</v>
      </c>
      <c r="AQ17" s="5">
        <v>2.1081851067789197</v>
      </c>
      <c r="AR17" s="5">
        <v>8</v>
      </c>
      <c r="AS17" s="5">
        <v>14</v>
      </c>
    </row>
    <row r="18" spans="2:45" x14ac:dyDescent="0.3">
      <c r="C18" t="s">
        <v>84</v>
      </c>
      <c r="D18" t="s">
        <v>82</v>
      </c>
      <c r="E18" s="5">
        <v>70.135489387108677</v>
      </c>
      <c r="F18" s="5">
        <v>1</v>
      </c>
      <c r="G18" s="5">
        <v>3.4664206039329009</v>
      </c>
      <c r="H18" s="5">
        <v>4.8457218697418316</v>
      </c>
      <c r="I18" s="5">
        <v>60.103381078758702</v>
      </c>
      <c r="J18" s="5">
        <v>76.946426748085798</v>
      </c>
      <c r="K18" s="5">
        <v>43.060314991725399</v>
      </c>
      <c r="L18" s="5">
        <v>119.281368492802</v>
      </c>
      <c r="M18" s="5">
        <v>9.1</v>
      </c>
      <c r="P18" t="s">
        <v>89</v>
      </c>
      <c r="Q18" t="s">
        <v>99</v>
      </c>
      <c r="R18" t="s">
        <v>82</v>
      </c>
      <c r="S18" s="5">
        <v>1.0393073816242269</v>
      </c>
      <c r="T18" s="5">
        <v>0.25768116607482183</v>
      </c>
      <c r="U18" s="5">
        <v>0.3602134318185905</v>
      </c>
      <c r="V18" s="5">
        <v>0.61363727304496296</v>
      </c>
      <c r="W18" s="5">
        <v>1.6623255879926</v>
      </c>
      <c r="X18" s="5">
        <v>0</v>
      </c>
      <c r="Y18" s="5">
        <v>4</v>
      </c>
      <c r="AL18" t="s">
        <v>121</v>
      </c>
      <c r="AM18" t="s">
        <v>110</v>
      </c>
      <c r="AN18" t="s">
        <v>82</v>
      </c>
      <c r="AO18" s="5">
        <v>12.5</v>
      </c>
      <c r="AP18" s="5">
        <v>1.6260279103035917</v>
      </c>
      <c r="AQ18" s="5">
        <v>2.2730302828309759</v>
      </c>
      <c r="AR18" s="5">
        <v>9</v>
      </c>
      <c r="AS18" s="5">
        <v>16</v>
      </c>
    </row>
    <row r="19" spans="2:45" x14ac:dyDescent="0.3">
      <c r="C19" t="s">
        <v>85</v>
      </c>
      <c r="D19" t="s">
        <v>82</v>
      </c>
      <c r="E19" s="5">
        <v>12</v>
      </c>
      <c r="F19" s="5">
        <v>1</v>
      </c>
      <c r="G19" s="5">
        <v>0</v>
      </c>
      <c r="H19" s="5">
        <v>0</v>
      </c>
      <c r="I19" s="5">
        <v>12</v>
      </c>
      <c r="J19" s="5">
        <v>12</v>
      </c>
      <c r="K19" s="5">
        <v>12</v>
      </c>
      <c r="L19" s="5">
        <v>12</v>
      </c>
      <c r="M19" s="5">
        <v>9.1</v>
      </c>
      <c r="P19" t="s">
        <v>90</v>
      </c>
      <c r="Q19" t="s">
        <v>99</v>
      </c>
      <c r="R19" t="s">
        <v>82</v>
      </c>
      <c r="S19" s="5">
        <v>1.2706682975078056</v>
      </c>
      <c r="T19" s="5">
        <v>0.21990226582093259</v>
      </c>
      <c r="U19" s="5">
        <v>0.30740217084022997</v>
      </c>
      <c r="V19" s="5">
        <v>0.82142168923556802</v>
      </c>
      <c r="W19" s="5">
        <v>1.71735388547157</v>
      </c>
      <c r="X19" s="5">
        <v>0</v>
      </c>
      <c r="Y19" s="5">
        <v>4</v>
      </c>
      <c r="AL19" t="s">
        <v>122</v>
      </c>
      <c r="AM19" t="s">
        <v>112</v>
      </c>
      <c r="AN19" t="s">
        <v>82</v>
      </c>
      <c r="AO19" s="5">
        <v>11.4</v>
      </c>
      <c r="AP19" s="5">
        <v>1.3147352622725437</v>
      </c>
      <c r="AQ19" s="5">
        <v>1.8378731669453656</v>
      </c>
      <c r="AR19" s="5">
        <v>8</v>
      </c>
      <c r="AS19" s="5">
        <v>14</v>
      </c>
    </row>
    <row r="20" spans="2:45" x14ac:dyDescent="0.3">
      <c r="C20" t="s">
        <v>86</v>
      </c>
      <c r="D20" t="s">
        <v>82</v>
      </c>
      <c r="E20" s="5">
        <v>36.534296536270553</v>
      </c>
      <c r="F20" s="5">
        <v>1</v>
      </c>
      <c r="G20" s="5">
        <v>0.88726401483887163</v>
      </c>
      <c r="H20" s="5">
        <v>1.2403095677603713</v>
      </c>
      <c r="I20" s="5">
        <v>34.454913680466298</v>
      </c>
      <c r="J20" s="5">
        <v>38.070291504247201</v>
      </c>
      <c r="K20" s="5">
        <v>25.3401743969536</v>
      </c>
      <c r="L20" s="5">
        <v>52.547838842594999</v>
      </c>
      <c r="M20" s="5">
        <v>9.1</v>
      </c>
    </row>
    <row r="21" spans="2:45" x14ac:dyDescent="0.3">
      <c r="C21" t="s">
        <v>87</v>
      </c>
      <c r="D21" t="s">
        <v>82</v>
      </c>
      <c r="E21" s="5">
        <v>21.601192850838142</v>
      </c>
      <c r="F21" s="5">
        <v>1</v>
      </c>
      <c r="G21" s="5">
        <v>2.9668782439199362</v>
      </c>
      <c r="H21" s="5">
        <v>4.1474098022359787</v>
      </c>
      <c r="I21" s="5">
        <v>13.6484673982924</v>
      </c>
      <c r="J21" s="5">
        <v>27.655774910025599</v>
      </c>
      <c r="K21" s="5">
        <v>0</v>
      </c>
      <c r="L21" s="5">
        <v>68.091856714806795</v>
      </c>
      <c r="M21" s="5">
        <v>9.1</v>
      </c>
    </row>
    <row r="22" spans="2:45" x14ac:dyDescent="0.3">
      <c r="B22" t="s">
        <v>89</v>
      </c>
      <c r="C22" t="s">
        <v>81</v>
      </c>
      <c r="D22" t="s">
        <v>82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11</v>
      </c>
    </row>
    <row r="23" spans="2:45" x14ac:dyDescent="0.3">
      <c r="C23" t="s">
        <v>83</v>
      </c>
      <c r="D23" t="s">
        <v>82</v>
      </c>
      <c r="E23" s="5">
        <v>0</v>
      </c>
      <c r="F23" s="5">
        <v>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11</v>
      </c>
    </row>
    <row r="24" spans="2:45" x14ac:dyDescent="0.3">
      <c r="C24" t="s">
        <v>84</v>
      </c>
      <c r="D24" t="s">
        <v>82</v>
      </c>
      <c r="E24" s="5">
        <v>41.480245301861984</v>
      </c>
      <c r="F24" s="5">
        <v>1</v>
      </c>
      <c r="G24" s="5">
        <v>4.8323100123655722</v>
      </c>
      <c r="H24" s="5">
        <v>6.7551036021783171</v>
      </c>
      <c r="I24" s="5">
        <v>33.521703094146403</v>
      </c>
      <c r="J24" s="5">
        <v>53.188885435375902</v>
      </c>
      <c r="K24" s="5">
        <v>24.599315398531001</v>
      </c>
      <c r="L24" s="5">
        <v>78.499597813463097</v>
      </c>
      <c r="M24" s="5">
        <v>11</v>
      </c>
    </row>
    <row r="25" spans="2:45" x14ac:dyDescent="0.3">
      <c r="C25" t="s">
        <v>85</v>
      </c>
      <c r="D25" t="s">
        <v>82</v>
      </c>
      <c r="E25" s="5">
        <v>9</v>
      </c>
      <c r="F25" s="5">
        <v>1</v>
      </c>
      <c r="G25" s="5">
        <v>0</v>
      </c>
      <c r="H25" s="5">
        <v>0</v>
      </c>
      <c r="I25" s="5">
        <v>9</v>
      </c>
      <c r="J25" s="5">
        <v>9</v>
      </c>
      <c r="K25" s="5">
        <v>8.9999999999999893</v>
      </c>
      <c r="L25" s="5">
        <v>9.0000000000000302</v>
      </c>
      <c r="M25" s="5">
        <v>11</v>
      </c>
    </row>
    <row r="26" spans="2:45" x14ac:dyDescent="0.3">
      <c r="C26" t="s">
        <v>86</v>
      </c>
      <c r="D26" t="s">
        <v>82</v>
      </c>
      <c r="E26" s="5">
        <v>21.440206785788853</v>
      </c>
      <c r="F26" s="5">
        <v>1</v>
      </c>
      <c r="G26" s="5">
        <v>0.76561069949276661</v>
      </c>
      <c r="H26" s="5">
        <v>1.0702499592897796</v>
      </c>
      <c r="I26" s="5">
        <v>18.960622719540901</v>
      </c>
      <c r="J26" s="5">
        <v>22.776367399095498</v>
      </c>
      <c r="K26" s="5">
        <v>13.262616210012901</v>
      </c>
      <c r="L26" s="5">
        <v>28.307314565234201</v>
      </c>
      <c r="M26" s="5">
        <v>11</v>
      </c>
    </row>
    <row r="27" spans="2:45" x14ac:dyDescent="0.3">
      <c r="C27" t="s">
        <v>87</v>
      </c>
      <c r="D27" t="s">
        <v>82</v>
      </c>
      <c r="E27" s="5">
        <v>11.040038516073164</v>
      </c>
      <c r="F27" s="5">
        <v>1</v>
      </c>
      <c r="G27" s="5">
        <v>4.574169194183983</v>
      </c>
      <c r="H27" s="5">
        <v>6.3942476210211643</v>
      </c>
      <c r="I27" s="5">
        <v>2.8712742295470899</v>
      </c>
      <c r="J27" s="5">
        <v>21.412518036280499</v>
      </c>
      <c r="K27" s="5">
        <v>0</v>
      </c>
      <c r="L27" s="5">
        <v>44.831511242791699</v>
      </c>
      <c r="M27" s="5">
        <v>11</v>
      </c>
    </row>
    <row r="28" spans="2:45" x14ac:dyDescent="0.3">
      <c r="B28" t="s">
        <v>90</v>
      </c>
      <c r="C28" t="s">
        <v>81</v>
      </c>
      <c r="D28" t="s">
        <v>82</v>
      </c>
      <c r="E28" s="5">
        <v>0</v>
      </c>
      <c r="F28" s="5">
        <v>1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11.4</v>
      </c>
    </row>
    <row r="29" spans="2:45" x14ac:dyDescent="0.3">
      <c r="C29" t="s">
        <v>83</v>
      </c>
      <c r="D29" t="s">
        <v>82</v>
      </c>
      <c r="E29" s="5">
        <v>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11.4</v>
      </c>
    </row>
    <row r="30" spans="2:45" x14ac:dyDescent="0.3">
      <c r="C30" t="s">
        <v>84</v>
      </c>
      <c r="D30" t="s">
        <v>82</v>
      </c>
      <c r="E30" s="5">
        <v>50.580256818777187</v>
      </c>
      <c r="F30" s="5">
        <v>1</v>
      </c>
      <c r="G30" s="5">
        <v>4.0954260439988062</v>
      </c>
      <c r="H30" s="5">
        <v>5.7250108439810763</v>
      </c>
      <c r="I30" s="5">
        <v>43.309307456693901</v>
      </c>
      <c r="J30" s="5">
        <v>57.852123951402099</v>
      </c>
      <c r="K30" s="5">
        <v>30.9310144170956</v>
      </c>
      <c r="L30" s="5">
        <v>96.993071741156299</v>
      </c>
      <c r="M30" s="5">
        <v>11.4</v>
      </c>
    </row>
    <row r="31" spans="2:45" x14ac:dyDescent="0.3">
      <c r="C31" t="s">
        <v>85</v>
      </c>
      <c r="D31" t="s">
        <v>82</v>
      </c>
      <c r="E31" s="5">
        <v>9</v>
      </c>
      <c r="F31" s="5">
        <v>1</v>
      </c>
      <c r="G31" s="5">
        <v>0</v>
      </c>
      <c r="H31" s="5">
        <v>0</v>
      </c>
      <c r="I31" s="5">
        <v>9</v>
      </c>
      <c r="J31" s="5">
        <v>9</v>
      </c>
      <c r="K31" s="5">
        <v>8.9999999999999893</v>
      </c>
      <c r="L31" s="5">
        <v>9</v>
      </c>
      <c r="M31" s="5">
        <v>11.4</v>
      </c>
    </row>
    <row r="32" spans="2:45" x14ac:dyDescent="0.3">
      <c r="C32" t="s">
        <v>86</v>
      </c>
      <c r="D32" t="s">
        <v>82</v>
      </c>
      <c r="E32" s="5">
        <v>24.06400550570951</v>
      </c>
      <c r="F32" s="5">
        <v>1</v>
      </c>
      <c r="G32" s="5">
        <v>0.44633984307119945</v>
      </c>
      <c r="H32" s="5">
        <v>0.62394007710817145</v>
      </c>
      <c r="I32" s="5">
        <v>23.230521307253401</v>
      </c>
      <c r="J32" s="5">
        <v>25.169251972104</v>
      </c>
      <c r="K32" s="5">
        <v>17.9684813596824</v>
      </c>
      <c r="L32" s="5">
        <v>30.3404073957776</v>
      </c>
      <c r="M32" s="5">
        <v>11.4</v>
      </c>
    </row>
    <row r="33" spans="3:13" x14ac:dyDescent="0.3">
      <c r="C33" t="s">
        <v>87</v>
      </c>
      <c r="D33" t="s">
        <v>82</v>
      </c>
      <c r="E33" s="5">
        <v>17.516251313067688</v>
      </c>
      <c r="F33" s="5">
        <v>1</v>
      </c>
      <c r="G33" s="5">
        <v>4.1292174364958303</v>
      </c>
      <c r="H33" s="5">
        <v>5.7722479534784288</v>
      </c>
      <c r="I33" s="5">
        <v>9.7059079475153691</v>
      </c>
      <c r="J33" s="5">
        <v>24.269237976286799</v>
      </c>
      <c r="K33" s="5">
        <v>0</v>
      </c>
      <c r="L33" s="5">
        <v>65.514510493787597</v>
      </c>
      <c r="M33" s="5">
        <v>11.4</v>
      </c>
    </row>
  </sheetData>
  <dataConsolidate/>
  <conditionalFormatting pivot="1" sqref="G3:G33">
    <cfRule type="expression" dxfId="37" priority="10">
      <formula>G3=200000000000000000000</formula>
    </cfRule>
  </conditionalFormatting>
  <conditionalFormatting pivot="1" sqref="T3:T19">
    <cfRule type="expression" dxfId="36" priority="9">
      <formula>T3=200000000000000000000</formula>
    </cfRule>
  </conditionalFormatting>
  <conditionalFormatting pivot="1" sqref="T3:T19">
    <cfRule type="expression" dxfId="35" priority="8">
      <formula>T3=300000000000000000000</formula>
    </cfRule>
  </conditionalFormatting>
  <conditionalFormatting pivot="1" sqref="G3:G33">
    <cfRule type="expression" dxfId="34" priority="7">
      <formula>G3=300000000000000000000</formula>
    </cfRule>
  </conditionalFormatting>
  <conditionalFormatting pivot="1" sqref="F3:F33">
    <cfRule type="expression" dxfId="33" priority="6">
      <formula>F3=0</formula>
    </cfRule>
  </conditionalFormatting>
  <conditionalFormatting pivot="1" sqref="F3:F33">
    <cfRule type="expression" dxfId="32" priority="5">
      <formula>F3=1</formula>
    </cfRule>
  </conditionalFormatting>
  <conditionalFormatting pivot="1" sqref="T3:T19">
    <cfRule type="expression" dxfId="31" priority="4">
      <formula>T3=400000000000000000000</formula>
    </cfRule>
  </conditionalFormatting>
  <conditionalFormatting pivot="1" sqref="AP3:AP19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33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11"/>
  <sheetViews>
    <sheetView workbookViewId="0">
      <selection activeCell="K2" sqref="K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4.664062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45.4414062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33203125" bestFit="1" customWidth="1"/>
    <col min="21" max="21" width="17.6640625" bestFit="1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4.38598404919078</v>
      </c>
      <c r="H2">
        <v>2E+20</v>
      </c>
      <c r="I2">
        <v>0</v>
      </c>
      <c r="J2">
        <v>15.899731852993799</v>
      </c>
      <c r="K2">
        <v>32</v>
      </c>
      <c r="L2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5.741260570072102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3.6539255442177514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1.63324091273426</v>
      </c>
      <c r="S2" cm="1">
        <f t="array" ref="S2">MAX(IF((DiscreteStatsTable[GroupByKey]=DiscreteStatsTable[[#This Row],[GroupByKey]]),(DiscreteStatsTable[GroupByKey]=DiscreteStatsTable[[#This Row],[GroupByKey]])*DiscreteStatsTable[Average]))</f>
        <v>14.1000361838224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33.782040595515802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35</v>
      </c>
      <c r="W2">
        <f>IF((DiscreteStatsTable[[#This Row],[RepsRequested]]&gt;1),DiscreteStatsTable[[#This Row],[HalfWidth]],DiscreteStatsTable[[#This Row],[BatchMeansHalfWidth]])</f>
        <v>2.6138608719587877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2</v>
      </c>
      <c r="D3" t="s">
        <v>69</v>
      </c>
      <c r="E3" t="s">
        <v>70</v>
      </c>
      <c r="F3" t="s">
        <v>71</v>
      </c>
      <c r="G3">
        <v>7.1431701066100803</v>
      </c>
      <c r="H3">
        <v>2E+20</v>
      </c>
      <c r="I3">
        <v>0</v>
      </c>
      <c r="J3">
        <v>23.341999908309798</v>
      </c>
      <c r="K3">
        <v>37</v>
      </c>
      <c r="L3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5.741260570072102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3.6539255442177514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3" cm="1">
        <f t="array" ref="R3">MIN(IF((DiscreteStatsTable[GroupByKey]=DiscreteStatsTable[[#This Row],[GroupByKey]]),(DiscreteStatsTable[GroupByKey]=DiscreteStatsTable[[#This Row],[GroupByKey]])*DiscreteStatsTable[Average]))</f>
        <v>1.63324091273426</v>
      </c>
      <c r="S3" cm="1">
        <f t="array" ref="S3">MAX(IF((DiscreteStatsTable[GroupByKey]=DiscreteStatsTable[[#This Row],[GroupByKey]]),(DiscreteStatsTable[GroupByKey]=DiscreteStatsTable[[#This Row],[GroupByKey]])*DiscreteStatsTable[Average]))</f>
        <v>14.1000361838224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33.782040595515802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35</v>
      </c>
      <c r="W3">
        <f>IF((DiscreteStatsTable[[#This Row],[RepsRequested]]&gt;1),DiscreteStatsTable[[#This Row],[HalfWidth]],DiscreteStatsTable[[#This Row],[BatchMeansHalfWidth]])</f>
        <v>2.6138608719587877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3</v>
      </c>
      <c r="D4" t="s">
        <v>69</v>
      </c>
      <c r="E4" t="s">
        <v>70</v>
      </c>
      <c r="F4" t="s">
        <v>71</v>
      </c>
      <c r="G4">
        <v>4.4015913686481403</v>
      </c>
      <c r="H4">
        <v>2E+20</v>
      </c>
      <c r="I4">
        <v>0</v>
      </c>
      <c r="J4">
        <v>14.3251132654788</v>
      </c>
      <c r="K4">
        <v>35</v>
      </c>
      <c r="L4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5.741260570072102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3.6539255442177514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1.63324091273426</v>
      </c>
      <c r="S4" cm="1">
        <f t="array" ref="S4">MAX(IF((DiscreteStatsTable[GroupByKey]=DiscreteStatsTable[[#This Row],[GroupByKey]]),(DiscreteStatsTable[GroupByKey]=DiscreteStatsTable[[#This Row],[GroupByKey]])*DiscreteStatsTable[Average]))</f>
        <v>14.1000361838224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33.782040595515802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35</v>
      </c>
      <c r="W4">
        <f>IF((DiscreteStatsTable[[#This Row],[RepsRequested]]&gt;1),DiscreteStatsTable[[#This Row],[HalfWidth]],DiscreteStatsTable[[#This Row],[BatchMeansHalfWidth]])</f>
        <v>2.6138608719587877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4</v>
      </c>
      <c r="D5" t="s">
        <v>69</v>
      </c>
      <c r="E5" t="s">
        <v>70</v>
      </c>
      <c r="F5" t="s">
        <v>71</v>
      </c>
      <c r="G5">
        <v>3.1447529005197898</v>
      </c>
      <c r="H5">
        <v>2E+20</v>
      </c>
      <c r="I5">
        <v>0</v>
      </c>
      <c r="J5">
        <v>10.6686941795801</v>
      </c>
      <c r="K5">
        <v>36</v>
      </c>
      <c r="L5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5.741260570072102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3.6539255442177514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1.63324091273426</v>
      </c>
      <c r="S5" cm="1">
        <f t="array" ref="S5">MAX(IF((DiscreteStatsTable[GroupByKey]=DiscreteStatsTable[[#This Row],[GroupByKey]]),(DiscreteStatsTable[GroupByKey]=DiscreteStatsTable[[#This Row],[GroupByKey]])*DiscreteStatsTable[Average]))</f>
        <v>14.1000361838224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33.782040595515802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35</v>
      </c>
      <c r="W5">
        <f>IF((DiscreteStatsTable[[#This Row],[RepsRequested]]&gt;1),DiscreteStatsTable[[#This Row],[HalfWidth]],DiscreteStatsTable[[#This Row],[BatchMeansHalfWidth]])</f>
        <v>2.6138608719587877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5</v>
      </c>
      <c r="D6" t="s">
        <v>69</v>
      </c>
      <c r="E6" t="s">
        <v>70</v>
      </c>
      <c r="F6" t="s">
        <v>71</v>
      </c>
      <c r="G6">
        <v>1.63324091273426</v>
      </c>
      <c r="H6">
        <v>2E+20</v>
      </c>
      <c r="I6">
        <v>0</v>
      </c>
      <c r="J6">
        <v>8.8332274097818093</v>
      </c>
      <c r="K6">
        <v>33</v>
      </c>
      <c r="L6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5.741260570072102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3.6539255442177514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1.63324091273426</v>
      </c>
      <c r="S6" cm="1">
        <f t="array" ref="S6">MAX(IF((DiscreteStatsTable[GroupByKey]=DiscreteStatsTable[[#This Row],[GroupByKey]]),(DiscreteStatsTable[GroupByKey]=DiscreteStatsTable[[#This Row],[GroupByKey]])*DiscreteStatsTable[Average]))</f>
        <v>14.1000361838224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33.782040595515802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35</v>
      </c>
      <c r="W6">
        <f>IF((DiscreteStatsTable[[#This Row],[RepsRequested]]&gt;1),DiscreteStatsTable[[#This Row],[HalfWidth]],DiscreteStatsTable[[#This Row],[BatchMeansHalfWidth]])</f>
        <v>2.6138608719587877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6</v>
      </c>
      <c r="D7" t="s">
        <v>69</v>
      </c>
      <c r="E7" t="s">
        <v>70</v>
      </c>
      <c r="F7" t="s">
        <v>71</v>
      </c>
      <c r="G7">
        <v>14.1000361838224</v>
      </c>
      <c r="H7">
        <v>2E+20</v>
      </c>
      <c r="I7">
        <v>0</v>
      </c>
      <c r="J7">
        <v>33.782040595515802</v>
      </c>
      <c r="K7">
        <v>37</v>
      </c>
      <c r="L7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5.741260570072102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3.6539255442177514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1.63324091273426</v>
      </c>
      <c r="S7" cm="1">
        <f t="array" ref="S7">MAX(IF((DiscreteStatsTable[GroupByKey]=DiscreteStatsTable[[#This Row],[GroupByKey]]),(DiscreteStatsTable[GroupByKey]=DiscreteStatsTable[[#This Row],[GroupByKey]])*DiscreteStatsTable[Average]))</f>
        <v>14.1000361838224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33.782040595515802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35</v>
      </c>
      <c r="W7">
        <f>IF((DiscreteStatsTable[[#This Row],[RepsRequested]]&gt;1),DiscreteStatsTable[[#This Row],[HalfWidth]],DiscreteStatsTable[[#This Row],[BatchMeansHalfWidth]])</f>
        <v>2.6138608719587877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7</v>
      </c>
      <c r="D8" t="s">
        <v>69</v>
      </c>
      <c r="E8" t="s">
        <v>70</v>
      </c>
      <c r="F8" t="s">
        <v>71</v>
      </c>
      <c r="G8">
        <v>7.8092287971569201</v>
      </c>
      <c r="H8">
        <v>2E+20</v>
      </c>
      <c r="I8">
        <v>0</v>
      </c>
      <c r="J8">
        <v>24.553208234377401</v>
      </c>
      <c r="K8">
        <v>36</v>
      </c>
      <c r="L8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5.741260570072102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3.6539255442177514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1.63324091273426</v>
      </c>
      <c r="S8" cm="1">
        <f t="array" ref="S8">MAX(IF((DiscreteStatsTable[GroupByKey]=DiscreteStatsTable[[#This Row],[GroupByKey]]),(DiscreteStatsTable[GroupByKey]=DiscreteStatsTable[[#This Row],[GroupByKey]])*DiscreteStatsTable[Average]))</f>
        <v>14.1000361838224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33.782040595515802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35</v>
      </c>
      <c r="W8">
        <f>IF((DiscreteStatsTable[[#This Row],[RepsRequested]]&gt;1),DiscreteStatsTable[[#This Row],[HalfWidth]],DiscreteStatsTable[[#This Row],[BatchMeansHalfWidth]])</f>
        <v>2.6138608719587877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8</v>
      </c>
      <c r="D9" t="s">
        <v>69</v>
      </c>
      <c r="E9" t="s">
        <v>70</v>
      </c>
      <c r="F9" t="s">
        <v>71</v>
      </c>
      <c r="G9">
        <v>3.7371791720157699</v>
      </c>
      <c r="H9">
        <v>2E+20</v>
      </c>
      <c r="I9">
        <v>0</v>
      </c>
      <c r="J9">
        <v>16.463200847093599</v>
      </c>
      <c r="K9">
        <v>33</v>
      </c>
      <c r="L9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5.741260570072102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3.6539255442177514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9" cm="1">
        <f t="array" ref="R9">MIN(IF((DiscreteStatsTable[GroupByKey]=DiscreteStatsTable[[#This Row],[GroupByKey]]),(DiscreteStatsTable[GroupByKey]=DiscreteStatsTable[[#This Row],[GroupByKey]])*DiscreteStatsTable[Average]))</f>
        <v>1.63324091273426</v>
      </c>
      <c r="S9" cm="1">
        <f t="array" ref="S9">MAX(IF((DiscreteStatsTable[GroupByKey]=DiscreteStatsTable[[#This Row],[GroupByKey]]),(DiscreteStatsTable[GroupByKey]=DiscreteStatsTable[[#This Row],[GroupByKey]])*DiscreteStatsTable[Average]))</f>
        <v>14.1000361838224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33.782040595515802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35</v>
      </c>
      <c r="W9">
        <f>IF((DiscreteStatsTable[[#This Row],[RepsRequested]]&gt;1),DiscreteStatsTable[[#This Row],[HalfWidth]],DiscreteStatsTable[[#This Row],[BatchMeansHalfWidth]])</f>
        <v>2.6138608719587877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9</v>
      </c>
      <c r="D10" t="s">
        <v>69</v>
      </c>
      <c r="E10" t="s">
        <v>70</v>
      </c>
      <c r="F10" t="s">
        <v>71</v>
      </c>
      <c r="G10">
        <v>3.0094143930655299</v>
      </c>
      <c r="H10">
        <v>2E+20</v>
      </c>
      <c r="I10">
        <v>0</v>
      </c>
      <c r="J10">
        <v>12.183780358267301</v>
      </c>
      <c r="K10">
        <v>35</v>
      </c>
      <c r="L10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5.741260570072102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3.6539255442177514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1.63324091273426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14.1000361838224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33.782040595515802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35</v>
      </c>
      <c r="W10">
        <f>IF((DiscreteStatsTable[[#This Row],[RepsRequested]]&gt;1),DiscreteStatsTable[[#This Row],[HalfWidth]],DiscreteStatsTable[[#This Row],[BatchMeansHalfWidth]])</f>
        <v>2.6138608719587877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10</v>
      </c>
      <c r="D11" t="s">
        <v>69</v>
      </c>
      <c r="E11" t="s">
        <v>70</v>
      </c>
      <c r="F11" t="s">
        <v>71</v>
      </c>
      <c r="G11">
        <v>8.0480078169573499</v>
      </c>
      <c r="H11">
        <v>2E+20</v>
      </c>
      <c r="I11">
        <v>0</v>
      </c>
      <c r="J11">
        <v>25.365536022761201</v>
      </c>
      <c r="K11">
        <v>36</v>
      </c>
      <c r="L11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5.741260570072102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3.6539255442177514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2.6138608719587877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1.63324091273426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14.1000361838224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33.782040595515802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35</v>
      </c>
      <c r="W11">
        <f>IF((DiscreteStatsTable[[#This Row],[RepsRequested]]&gt;1),DiscreteStatsTable[[#This Row],[HalfWidth]],DiscreteStatsTable[[#This Row],[BatchMeansHalfWidth]])</f>
        <v>2.6138608719587877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1</v>
      </c>
      <c r="D12" t="s">
        <v>72</v>
      </c>
      <c r="E12" t="s">
        <v>70</v>
      </c>
      <c r="F12" t="s">
        <v>71</v>
      </c>
      <c r="G12">
        <v>14.1141102543882</v>
      </c>
      <c r="H12">
        <v>2E+20</v>
      </c>
      <c r="I12">
        <v>0</v>
      </c>
      <c r="J12">
        <v>36.628392858522702</v>
      </c>
      <c r="K12">
        <v>34</v>
      </c>
      <c r="L12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8.0161019761068228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4.7342190626064236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2.3721091498436899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18.2829789769605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43.092738224866899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33.4</v>
      </c>
      <c r="W12">
        <f>IF((DiscreteStatsTable[[#This Row],[RepsRequested]]&gt;1),DiscreteStatsTable[[#This Row],[HalfWidth]],DiscreteStatsTable[[#This Row],[BatchMeansHalfWidth]])</f>
        <v>3.3866563008134714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72</v>
      </c>
      <c r="E13" t="s">
        <v>70</v>
      </c>
      <c r="F13" t="s">
        <v>71</v>
      </c>
      <c r="G13">
        <v>7.5666018909631996</v>
      </c>
      <c r="H13">
        <v>2E+20</v>
      </c>
      <c r="I13">
        <v>0</v>
      </c>
      <c r="J13">
        <v>25.569228217920301</v>
      </c>
      <c r="K13">
        <v>36</v>
      </c>
      <c r="L13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8.0161019761068228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4.7342190626064236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2.3721091498436899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18.2829789769605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43.092738224866899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33.4</v>
      </c>
      <c r="W13">
        <f>IF((DiscreteStatsTable[[#This Row],[RepsRequested]]&gt;1),DiscreteStatsTable[[#This Row],[HalfWidth]],DiscreteStatsTable[[#This Row],[BatchMeansHalfWidth]])</f>
        <v>3.3866563008134714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72</v>
      </c>
      <c r="E14" t="s">
        <v>70</v>
      </c>
      <c r="F14" t="s">
        <v>71</v>
      </c>
      <c r="G14">
        <v>5.98659970682841</v>
      </c>
      <c r="H14">
        <v>2E+20</v>
      </c>
      <c r="I14">
        <v>0</v>
      </c>
      <c r="J14">
        <v>30.689989533625301</v>
      </c>
      <c r="K14">
        <v>32</v>
      </c>
      <c r="L14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8.0161019761068228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4.7342190626064236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2.3721091498436899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18.2829789769605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43.092738224866899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33.4</v>
      </c>
      <c r="W14">
        <f>IF((DiscreteStatsTable[[#This Row],[RepsRequested]]&gt;1),DiscreteStatsTable[[#This Row],[HalfWidth]],DiscreteStatsTable[[#This Row],[BatchMeansHalfWidth]])</f>
        <v>3.3866563008134714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4</v>
      </c>
      <c r="D15" t="s">
        <v>72</v>
      </c>
      <c r="E15" t="s">
        <v>70</v>
      </c>
      <c r="F15" t="s">
        <v>71</v>
      </c>
      <c r="G15">
        <v>6.4424157161932696</v>
      </c>
      <c r="H15">
        <v>2E+20</v>
      </c>
      <c r="I15">
        <v>0</v>
      </c>
      <c r="J15">
        <v>23.4723227610001</v>
      </c>
      <c r="K15">
        <v>30</v>
      </c>
      <c r="L15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8.0161019761068228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4.7342190626064236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2.3721091498436899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18.2829789769605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43.092738224866899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33.4</v>
      </c>
      <c r="W15">
        <f>IF((DiscreteStatsTable[[#This Row],[RepsRequested]]&gt;1),DiscreteStatsTable[[#This Row],[HalfWidth]],DiscreteStatsTable[[#This Row],[BatchMeansHalfWidth]])</f>
        <v>3.3866563008134714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5</v>
      </c>
      <c r="D16" t="s">
        <v>72</v>
      </c>
      <c r="E16" t="s">
        <v>70</v>
      </c>
      <c r="F16" t="s">
        <v>71</v>
      </c>
      <c r="G16">
        <v>7.9644141635114902</v>
      </c>
      <c r="H16">
        <v>2E+20</v>
      </c>
      <c r="I16">
        <v>0</v>
      </c>
      <c r="J16">
        <v>26.623039381661702</v>
      </c>
      <c r="K16">
        <v>37</v>
      </c>
      <c r="L16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8.0161019761068228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4.7342190626064236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2.3721091498436899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18.2829789769605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43.092738224866899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33.4</v>
      </c>
      <c r="W16">
        <f>IF((DiscreteStatsTable[[#This Row],[RepsRequested]]&gt;1),DiscreteStatsTable[[#This Row],[HalfWidth]],DiscreteStatsTable[[#This Row],[BatchMeansHalfWidth]])</f>
        <v>3.3866563008134714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6</v>
      </c>
      <c r="D17" t="s">
        <v>72</v>
      </c>
      <c r="E17" t="s">
        <v>70</v>
      </c>
      <c r="F17" t="s">
        <v>71</v>
      </c>
      <c r="G17">
        <v>4.8645153880266303</v>
      </c>
      <c r="H17">
        <v>2E+20</v>
      </c>
      <c r="I17">
        <v>0</v>
      </c>
      <c r="J17">
        <v>19.3093745713788</v>
      </c>
      <c r="K17">
        <v>33</v>
      </c>
      <c r="L17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8.0161019761068228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4.7342190626064236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2.3721091498436899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18.2829789769605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43.092738224866899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33.4</v>
      </c>
      <c r="W17">
        <f>IF((DiscreteStatsTable[[#This Row],[RepsRequested]]&gt;1),DiscreteStatsTable[[#This Row],[HalfWidth]],DiscreteStatsTable[[#This Row],[BatchMeansHalfWidth]])</f>
        <v>3.3866563008134714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7</v>
      </c>
      <c r="D18" t="s">
        <v>72</v>
      </c>
      <c r="E18" t="s">
        <v>70</v>
      </c>
      <c r="F18" t="s">
        <v>71</v>
      </c>
      <c r="G18">
        <v>4.7784974015230599</v>
      </c>
      <c r="H18">
        <v>2E+20</v>
      </c>
      <c r="I18">
        <v>0</v>
      </c>
      <c r="J18">
        <v>15.0838292864759</v>
      </c>
      <c r="K18">
        <v>34</v>
      </c>
      <c r="L18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8.0161019761068228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4.7342190626064236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2.3721091498436899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18.2829789769605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43.092738224866899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33.4</v>
      </c>
      <c r="W18">
        <f>IF((DiscreteStatsTable[[#This Row],[RepsRequested]]&gt;1),DiscreteStatsTable[[#This Row],[HalfWidth]],DiscreteStatsTable[[#This Row],[BatchMeansHalfWidth]])</f>
        <v>3.3866563008134714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8</v>
      </c>
      <c r="D19" t="s">
        <v>72</v>
      </c>
      <c r="E19" t="s">
        <v>70</v>
      </c>
      <c r="F19" t="s">
        <v>71</v>
      </c>
      <c r="G19">
        <v>18.2829789769605</v>
      </c>
      <c r="H19">
        <v>2E+20</v>
      </c>
      <c r="I19">
        <v>0</v>
      </c>
      <c r="J19">
        <v>43.092738224866899</v>
      </c>
      <c r="K19">
        <v>36</v>
      </c>
      <c r="L19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8.0161019761068228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4.7342190626064236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2.3721091498436899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18.2829789769605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43.092738224866899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33.4</v>
      </c>
      <c r="W19">
        <f>IF((DiscreteStatsTable[[#This Row],[RepsRequested]]&gt;1),DiscreteStatsTable[[#This Row],[HalfWidth]],DiscreteStatsTable[[#This Row],[BatchMeansHalfWidth]])</f>
        <v>3.3866563008134714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9</v>
      </c>
      <c r="D20" t="s">
        <v>72</v>
      </c>
      <c r="E20" t="s">
        <v>70</v>
      </c>
      <c r="F20" t="s">
        <v>71</v>
      </c>
      <c r="G20">
        <v>7.7887771128297603</v>
      </c>
      <c r="H20">
        <v>2E+20</v>
      </c>
      <c r="I20">
        <v>0</v>
      </c>
      <c r="J20">
        <v>34.524184131639203</v>
      </c>
      <c r="K20">
        <v>33</v>
      </c>
      <c r="L20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8.0161019761068228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4.7342190626064236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2.3721091498436899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18.2829789769605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43.092738224866899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33.4</v>
      </c>
      <c r="W20">
        <f>IF((DiscreteStatsTable[[#This Row],[RepsRequested]]&gt;1),DiscreteStatsTable[[#This Row],[HalfWidth]],DiscreteStatsTable[[#This Row],[BatchMeansHalfWidth]])</f>
        <v>3.3866563008134714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10</v>
      </c>
      <c r="D21" t="s">
        <v>72</v>
      </c>
      <c r="E21" t="s">
        <v>70</v>
      </c>
      <c r="F21" t="s">
        <v>71</v>
      </c>
      <c r="G21">
        <v>2.3721091498436899</v>
      </c>
      <c r="H21">
        <v>2E+20</v>
      </c>
      <c r="I21">
        <v>0</v>
      </c>
      <c r="J21">
        <v>12.268636145104599</v>
      </c>
      <c r="K21">
        <v>29</v>
      </c>
      <c r="L21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8.0161019761068228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4.7342190626064236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3.3866563008134714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2.3721091498436899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18.2829789769605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43.092738224866899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33.4</v>
      </c>
      <c r="W21">
        <f>IF((DiscreteStatsTable[[#This Row],[RepsRequested]]&gt;1),DiscreteStatsTable[[#This Row],[HalfWidth]],DiscreteStatsTable[[#This Row],[BatchMeansHalfWidth]])</f>
        <v>3.3866563008134714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1</v>
      </c>
      <c r="D22" t="s">
        <v>73</v>
      </c>
      <c r="E22" t="s">
        <v>70</v>
      </c>
      <c r="F22" t="s">
        <v>71</v>
      </c>
      <c r="G22">
        <v>9.2571195673351205</v>
      </c>
      <c r="H22">
        <v>2E+20</v>
      </c>
      <c r="I22">
        <v>0</v>
      </c>
      <c r="J22">
        <v>35.776897971436298</v>
      </c>
      <c r="K22">
        <v>35</v>
      </c>
      <c r="L22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8.3421314716441763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3.9384317629968666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3.1027728210408898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15.5344661616934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41.275755192244297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32.6</v>
      </c>
      <c r="W22">
        <f>IF((DiscreteStatsTable[[#This Row],[RepsRequested]]&gt;1),DiscreteStatsTable[[#This Row],[HalfWidth]],DiscreteStatsTable[[#This Row],[BatchMeansHalfWidth]])</f>
        <v>2.8173843603540285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2</v>
      </c>
      <c r="D23" t="s">
        <v>73</v>
      </c>
      <c r="E23" t="s">
        <v>70</v>
      </c>
      <c r="F23" t="s">
        <v>71</v>
      </c>
      <c r="G23">
        <v>6.4559497982283798</v>
      </c>
      <c r="H23">
        <v>2E+20</v>
      </c>
      <c r="I23">
        <v>0</v>
      </c>
      <c r="J23">
        <v>24.646572861654299</v>
      </c>
      <c r="K23">
        <v>29</v>
      </c>
      <c r="L23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8.3421314716441763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3.9384317629968666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3.1027728210408898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15.5344661616934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41.275755192244297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32.6</v>
      </c>
      <c r="W23">
        <f>IF((DiscreteStatsTable[[#This Row],[RepsRequested]]&gt;1),DiscreteStatsTable[[#This Row],[HalfWidth]],DiscreteStatsTable[[#This Row],[BatchMeansHalfWidth]])</f>
        <v>2.8173843603540285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3</v>
      </c>
      <c r="D24" t="s">
        <v>73</v>
      </c>
      <c r="E24" t="s">
        <v>70</v>
      </c>
      <c r="F24" t="s">
        <v>71</v>
      </c>
      <c r="G24">
        <v>6.2282258000006196</v>
      </c>
      <c r="H24">
        <v>2E+20</v>
      </c>
      <c r="I24">
        <v>0</v>
      </c>
      <c r="J24">
        <v>23.166695559442399</v>
      </c>
      <c r="K24">
        <v>33</v>
      </c>
      <c r="L24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8.3421314716441763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3.9384317629968666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3.1027728210408898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15.5344661616934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41.275755192244297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32.6</v>
      </c>
      <c r="W24">
        <f>IF((DiscreteStatsTable[[#This Row],[RepsRequested]]&gt;1),DiscreteStatsTable[[#This Row],[HalfWidth]],DiscreteStatsTable[[#This Row],[BatchMeansHalfWidth]])</f>
        <v>2.8173843603540285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73</v>
      </c>
      <c r="E25" t="s">
        <v>70</v>
      </c>
      <c r="F25" t="s">
        <v>71</v>
      </c>
      <c r="G25">
        <v>12.0492333422872</v>
      </c>
      <c r="H25">
        <v>2E+20</v>
      </c>
      <c r="I25">
        <v>0</v>
      </c>
      <c r="J25">
        <v>34.032176146105101</v>
      </c>
      <c r="K25">
        <v>34</v>
      </c>
      <c r="L25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8.3421314716441763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3.9384317629968666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3.1027728210408898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15.5344661616934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41.275755192244297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32.6</v>
      </c>
      <c r="W25">
        <f>IF((DiscreteStatsTable[[#This Row],[RepsRequested]]&gt;1),DiscreteStatsTable[[#This Row],[HalfWidth]],DiscreteStatsTable[[#This Row],[BatchMeansHalfWidth]])</f>
        <v>2.8173843603540285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73</v>
      </c>
      <c r="E26" t="s">
        <v>70</v>
      </c>
      <c r="F26" t="s">
        <v>71</v>
      </c>
      <c r="G26">
        <v>3.1027728210408898</v>
      </c>
      <c r="H26">
        <v>2E+20</v>
      </c>
      <c r="I26">
        <v>0</v>
      </c>
      <c r="J26">
        <v>11.8828154492361</v>
      </c>
      <c r="K26">
        <v>33</v>
      </c>
      <c r="L26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8.3421314716441763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3.9384317629968666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3.1027728210408898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15.5344661616934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41.275755192244297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32.6</v>
      </c>
      <c r="W26">
        <f>IF((DiscreteStatsTable[[#This Row],[RepsRequested]]&gt;1),DiscreteStatsTable[[#This Row],[HalfWidth]],DiscreteStatsTable[[#This Row],[BatchMeansHalfWidth]])</f>
        <v>2.8173843603540285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6</v>
      </c>
      <c r="D27" t="s">
        <v>73</v>
      </c>
      <c r="E27" t="s">
        <v>70</v>
      </c>
      <c r="F27" t="s">
        <v>71</v>
      </c>
      <c r="G27">
        <v>8.00062756057455</v>
      </c>
      <c r="H27">
        <v>2E+20</v>
      </c>
      <c r="I27">
        <v>0</v>
      </c>
      <c r="J27">
        <v>32.003420794569998</v>
      </c>
      <c r="K27">
        <v>30</v>
      </c>
      <c r="L27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8.3421314716441763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3.9384317629968666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3.1027728210408898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15.5344661616934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41.275755192244297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32.6</v>
      </c>
      <c r="W27">
        <f>IF((DiscreteStatsTable[[#This Row],[RepsRequested]]&gt;1),DiscreteStatsTable[[#This Row],[HalfWidth]],DiscreteStatsTable[[#This Row],[BatchMeansHalfWidth]])</f>
        <v>2.8173843603540285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7</v>
      </c>
      <c r="D28" t="s">
        <v>73</v>
      </c>
      <c r="E28" t="s">
        <v>70</v>
      </c>
      <c r="F28" t="s">
        <v>71</v>
      </c>
      <c r="G28">
        <v>6.9375838494320803</v>
      </c>
      <c r="H28">
        <v>2E+20</v>
      </c>
      <c r="I28">
        <v>0</v>
      </c>
      <c r="J28">
        <v>29.199921008392302</v>
      </c>
      <c r="K28">
        <v>30</v>
      </c>
      <c r="L28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8.3421314716441763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3.9384317629968666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3.1027728210408898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15.5344661616934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41.275755192244297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32.6</v>
      </c>
      <c r="W28">
        <f>IF((DiscreteStatsTable[[#This Row],[RepsRequested]]&gt;1),DiscreteStatsTable[[#This Row],[HalfWidth]],DiscreteStatsTable[[#This Row],[BatchMeansHalfWidth]])</f>
        <v>2.8173843603540285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8</v>
      </c>
      <c r="D29" t="s">
        <v>73</v>
      </c>
      <c r="E29" t="s">
        <v>70</v>
      </c>
      <c r="F29" t="s">
        <v>71</v>
      </c>
      <c r="G29">
        <v>3.7216234253527198</v>
      </c>
      <c r="H29">
        <v>2E+20</v>
      </c>
      <c r="I29">
        <v>0</v>
      </c>
      <c r="J29">
        <v>23.698687276954399</v>
      </c>
      <c r="K29">
        <v>31</v>
      </c>
      <c r="L29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8.3421314716441763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3.9384317629968666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3.1027728210408898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15.5344661616934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41.275755192244297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32.6</v>
      </c>
      <c r="W29">
        <f>IF((DiscreteStatsTable[[#This Row],[RepsRequested]]&gt;1),DiscreteStatsTable[[#This Row],[HalfWidth]],DiscreteStatsTable[[#This Row],[BatchMeansHalfWidth]])</f>
        <v>2.8173843603540285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9</v>
      </c>
      <c r="D30" t="s">
        <v>73</v>
      </c>
      <c r="E30" t="s">
        <v>70</v>
      </c>
      <c r="F30" t="s">
        <v>71</v>
      </c>
      <c r="G30">
        <v>12.1337123904968</v>
      </c>
      <c r="H30">
        <v>2E+20</v>
      </c>
      <c r="I30">
        <v>0</v>
      </c>
      <c r="J30">
        <v>28.544767073596098</v>
      </c>
      <c r="K30">
        <v>34</v>
      </c>
      <c r="L30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8.3421314716441763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3.9384317629968666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3.1027728210408898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15.5344661616934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41.275755192244297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32.6</v>
      </c>
      <c r="W30">
        <f>IF((DiscreteStatsTable[[#This Row],[RepsRequested]]&gt;1),DiscreteStatsTable[[#This Row],[HalfWidth]],DiscreteStatsTable[[#This Row],[BatchMeansHalfWidth]])</f>
        <v>2.8173843603540285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10</v>
      </c>
      <c r="D31" t="s">
        <v>73</v>
      </c>
      <c r="E31" t="s">
        <v>70</v>
      </c>
      <c r="F31" t="s">
        <v>71</v>
      </c>
      <c r="G31">
        <v>15.5344661616934</v>
      </c>
      <c r="H31">
        <v>2E+20</v>
      </c>
      <c r="I31">
        <v>0</v>
      </c>
      <c r="J31">
        <v>41.275755192244297</v>
      </c>
      <c r="K31">
        <v>37</v>
      </c>
      <c r="L31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8.3421314716441763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3.9384317629968666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2.8173843603540285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3.1027728210408898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15.5344661616934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41.275755192244297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32.6</v>
      </c>
      <c r="W31">
        <f>IF((DiscreteStatsTable[[#This Row],[RepsRequested]]&gt;1),DiscreteStatsTable[[#This Row],[HalfWidth]],DiscreteStatsTable[[#This Row],[BatchMeansHalfWidth]])</f>
        <v>2.8173843603540285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1</v>
      </c>
      <c r="D32" t="s">
        <v>74</v>
      </c>
      <c r="E32" t="s">
        <v>75</v>
      </c>
      <c r="F32" t="s">
        <v>76</v>
      </c>
      <c r="G32">
        <v>46.426608565997903</v>
      </c>
      <c r="H32">
        <v>2E+20</v>
      </c>
      <c r="I32">
        <v>28.5887394475752</v>
      </c>
      <c r="J32">
        <v>62.855772453280601</v>
      </c>
      <c r="K32">
        <v>10</v>
      </c>
      <c r="L32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46.782687634168497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5.9210287115671854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38.244117897627703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59.445484583842699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26.9877163177472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74.063595201744505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11.1</v>
      </c>
      <c r="W32">
        <f>IF((DiscreteStatsTable[[#This Row],[RepsRequested]]&gt;1),DiscreteStatsTable[[#This Row],[HalfWidth]],DiscreteStatsTable[[#This Row],[BatchMeansHalfWidth]])</f>
        <v>4.2356487792701722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2</v>
      </c>
      <c r="D33" t="s">
        <v>74</v>
      </c>
      <c r="E33" t="s">
        <v>75</v>
      </c>
      <c r="F33" t="s">
        <v>76</v>
      </c>
      <c r="G33">
        <v>48.9877900049798</v>
      </c>
      <c r="H33">
        <v>2E+20</v>
      </c>
      <c r="I33">
        <v>38.5569243398091</v>
      </c>
      <c r="J33">
        <v>67.764376104860801</v>
      </c>
      <c r="K33">
        <v>9</v>
      </c>
      <c r="L33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46.782687634168497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5.9210287115671854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38.244117897627703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59.445484583842699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26.9877163177472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74.063595201744505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11.1</v>
      </c>
      <c r="W33">
        <f>IF((DiscreteStatsTable[[#This Row],[RepsRequested]]&gt;1),DiscreteStatsTable[[#This Row],[HalfWidth]],DiscreteStatsTable[[#This Row],[BatchMeansHalfWidth]])</f>
        <v>4.2356487792701722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3</v>
      </c>
      <c r="D34" t="s">
        <v>74</v>
      </c>
      <c r="E34" t="s">
        <v>75</v>
      </c>
      <c r="F34" t="s">
        <v>76</v>
      </c>
      <c r="G34">
        <v>41.8020767177171</v>
      </c>
      <c r="H34">
        <v>2E+20</v>
      </c>
      <c r="I34">
        <v>26.9877163177472</v>
      </c>
      <c r="J34">
        <v>54.520002280470401</v>
      </c>
      <c r="K34">
        <v>12</v>
      </c>
      <c r="L34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46.782687634168497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5.9210287115671854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38.244117897627703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59.445484583842699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26.9877163177472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74.063595201744505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11.1</v>
      </c>
      <c r="W34">
        <f>IF((DiscreteStatsTable[[#This Row],[RepsRequested]]&gt;1),DiscreteStatsTable[[#This Row],[HalfWidth]],DiscreteStatsTable[[#This Row],[BatchMeansHalfWidth]])</f>
        <v>4.2356487792701722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4</v>
      </c>
      <c r="D35" t="s">
        <v>74</v>
      </c>
      <c r="E35" t="s">
        <v>75</v>
      </c>
      <c r="F35" t="s">
        <v>76</v>
      </c>
      <c r="G35">
        <v>49.399613290225197</v>
      </c>
      <c r="H35">
        <v>2E+20</v>
      </c>
      <c r="I35">
        <v>35.442750620857502</v>
      </c>
      <c r="J35">
        <v>61.7344062843177</v>
      </c>
      <c r="K35">
        <v>15</v>
      </c>
      <c r="L35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46.782687634168497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5.9210287115671854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38.244117897627703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59.445484583842699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26.9877163177472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74.063595201744505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11.1</v>
      </c>
      <c r="W35">
        <f>IF((DiscreteStatsTable[[#This Row],[RepsRequested]]&gt;1),DiscreteStatsTable[[#This Row],[HalfWidth]],DiscreteStatsTable[[#This Row],[BatchMeansHalfWidth]])</f>
        <v>4.2356487792701722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5</v>
      </c>
      <c r="D36" t="s">
        <v>74</v>
      </c>
      <c r="E36" t="s">
        <v>75</v>
      </c>
      <c r="F36" t="s">
        <v>76</v>
      </c>
      <c r="G36">
        <v>38.244117897627703</v>
      </c>
      <c r="H36">
        <v>2E+20</v>
      </c>
      <c r="I36">
        <v>31.341604233605501</v>
      </c>
      <c r="J36">
        <v>44.504956337632002</v>
      </c>
      <c r="K36">
        <v>9</v>
      </c>
      <c r="L36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46.782687634168497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5.9210287115671854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38.244117897627703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59.445484583842699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26.9877163177472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74.063595201744505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11.1</v>
      </c>
      <c r="W36">
        <f>IF((DiscreteStatsTable[[#This Row],[RepsRequested]]&gt;1),DiscreteStatsTable[[#This Row],[HalfWidth]],DiscreteStatsTable[[#This Row],[BatchMeansHalfWidth]])</f>
        <v>4.2356487792701722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74</v>
      </c>
      <c r="E37" t="s">
        <v>75</v>
      </c>
      <c r="F37" t="s">
        <v>76</v>
      </c>
      <c r="G37">
        <v>51.074746769405202</v>
      </c>
      <c r="H37">
        <v>2E+20</v>
      </c>
      <c r="I37">
        <v>33.515017583489303</v>
      </c>
      <c r="J37">
        <v>59.410250292522797</v>
      </c>
      <c r="K37">
        <v>10</v>
      </c>
      <c r="L37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46.782687634168497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5.9210287115671854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38.244117897627703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59.445484583842699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26.9877163177472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74.063595201744505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11.1</v>
      </c>
      <c r="W37">
        <f>IF((DiscreteStatsTable[[#This Row],[RepsRequested]]&gt;1),DiscreteStatsTable[[#This Row],[HalfWidth]],DiscreteStatsTable[[#This Row],[BatchMeansHalfWidth]])</f>
        <v>4.2356487792701722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74</v>
      </c>
      <c r="E38" t="s">
        <v>75</v>
      </c>
      <c r="F38" t="s">
        <v>76</v>
      </c>
      <c r="G38">
        <v>45.489478995609403</v>
      </c>
      <c r="H38">
        <v>2E+20</v>
      </c>
      <c r="I38">
        <v>34.685545023253503</v>
      </c>
      <c r="J38">
        <v>70.098334317438997</v>
      </c>
      <c r="K38">
        <v>10</v>
      </c>
      <c r="L38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46.782687634168497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5.9210287115671854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38.244117897627703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59.445484583842699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26.9877163177472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74.063595201744505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11.1</v>
      </c>
      <c r="W38">
        <f>IF((DiscreteStatsTable[[#This Row],[RepsRequested]]&gt;1),DiscreteStatsTable[[#This Row],[HalfWidth]],DiscreteStatsTable[[#This Row],[BatchMeansHalfWidth]])</f>
        <v>4.2356487792701722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8</v>
      </c>
      <c r="D39" t="s">
        <v>74</v>
      </c>
      <c r="E39" t="s">
        <v>75</v>
      </c>
      <c r="F39" t="s">
        <v>76</v>
      </c>
      <c r="G39">
        <v>42.118362859450997</v>
      </c>
      <c r="H39">
        <v>2E+20</v>
      </c>
      <c r="I39">
        <v>29.837281874740999</v>
      </c>
      <c r="J39">
        <v>54.776396487699898</v>
      </c>
      <c r="K39">
        <v>8</v>
      </c>
      <c r="L39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46.782687634168497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5.9210287115671854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38.244117897627703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59.445484583842699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26.9877163177472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74.063595201744505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11.1</v>
      </c>
      <c r="W39">
        <f>IF((DiscreteStatsTable[[#This Row],[RepsRequested]]&gt;1),DiscreteStatsTable[[#This Row],[HalfWidth]],DiscreteStatsTable[[#This Row],[BatchMeansHalfWidth]])</f>
        <v>4.2356487792701722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9</v>
      </c>
      <c r="D40" t="s">
        <v>74</v>
      </c>
      <c r="E40" t="s">
        <v>75</v>
      </c>
      <c r="F40" t="s">
        <v>76</v>
      </c>
      <c r="G40">
        <v>44.838596656828997</v>
      </c>
      <c r="H40">
        <v>2E+20</v>
      </c>
      <c r="I40">
        <v>32.211038356029697</v>
      </c>
      <c r="J40">
        <v>55.064584049631399</v>
      </c>
      <c r="K40">
        <v>12</v>
      </c>
      <c r="L40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46.782687634168497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5.9210287115671854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38.244117897627703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59.445484583842699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26.9877163177472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74.063595201744505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11.1</v>
      </c>
      <c r="W40">
        <f>IF((DiscreteStatsTable[[#This Row],[RepsRequested]]&gt;1),DiscreteStatsTable[[#This Row],[HalfWidth]],DiscreteStatsTable[[#This Row],[BatchMeansHalfWidth]])</f>
        <v>4.2356487792701722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10</v>
      </c>
      <c r="D41" t="s">
        <v>74</v>
      </c>
      <c r="E41" t="s">
        <v>75</v>
      </c>
      <c r="F41" t="s">
        <v>76</v>
      </c>
      <c r="G41">
        <v>59.445484583842699</v>
      </c>
      <c r="H41">
        <v>2E+20</v>
      </c>
      <c r="I41">
        <v>35.6132514460595</v>
      </c>
      <c r="J41">
        <v>74.063595201744505</v>
      </c>
      <c r="K41">
        <v>16</v>
      </c>
      <c r="L41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46.782687634168497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5.9210287115671854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38.244117897627703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59.445484583842699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26.9877163177472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74.063595201744505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11.1</v>
      </c>
      <c r="W41">
        <f>IF((DiscreteStatsTable[[#This Row],[RepsRequested]]&gt;1),DiscreteStatsTable[[#This Row],[HalfWidth]],DiscreteStatsTable[[#This Row],[BatchMeansHalfWidth]])</f>
        <v>4.2356487792701722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1</v>
      </c>
      <c r="D42" t="s">
        <v>77</v>
      </c>
      <c r="E42" t="s">
        <v>75</v>
      </c>
      <c r="F42" t="s">
        <v>76</v>
      </c>
      <c r="G42">
        <v>76.946426748085798</v>
      </c>
      <c r="H42">
        <v>2E+20</v>
      </c>
      <c r="I42">
        <v>48.615309865854599</v>
      </c>
      <c r="J42">
        <v>119.281368492802</v>
      </c>
      <c r="K42">
        <v>12</v>
      </c>
      <c r="L42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70.135489387108677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4.8457218697418316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60.103381078758702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76.946426748085798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43.060314991725399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119.281368492802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9.1</v>
      </c>
      <c r="W42">
        <f>IF((DiscreteStatsTable[[#This Row],[RepsRequested]]&gt;1),DiscreteStatsTable[[#This Row],[HalfWidth]],DiscreteStatsTable[[#This Row],[BatchMeansHalfWidth]])</f>
        <v>3.4664206039329009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2</v>
      </c>
      <c r="D43" t="s">
        <v>77</v>
      </c>
      <c r="E43" t="s">
        <v>75</v>
      </c>
      <c r="F43" t="s">
        <v>76</v>
      </c>
      <c r="G43">
        <v>66.418115407512602</v>
      </c>
      <c r="H43">
        <v>2E+20</v>
      </c>
      <c r="I43">
        <v>48.318678842822301</v>
      </c>
      <c r="J43">
        <v>118.601855556597</v>
      </c>
      <c r="K43">
        <v>10</v>
      </c>
      <c r="L43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70.135489387108677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4.8457218697418316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60.103381078758702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76.946426748085798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43.060314991725399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119.281368492802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9.1</v>
      </c>
      <c r="W43">
        <f>IF((DiscreteStatsTable[[#This Row],[RepsRequested]]&gt;1),DiscreteStatsTable[[#This Row],[HalfWidth]],DiscreteStatsTable[[#This Row],[BatchMeansHalfWidth]])</f>
        <v>3.4664206039329009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3</v>
      </c>
      <c r="D44" t="s">
        <v>77</v>
      </c>
      <c r="E44" t="s">
        <v>75</v>
      </c>
      <c r="F44" t="s">
        <v>76</v>
      </c>
      <c r="G44">
        <v>68.178236151727006</v>
      </c>
      <c r="H44">
        <v>2E+20</v>
      </c>
      <c r="I44">
        <v>51.366144228876998</v>
      </c>
      <c r="J44">
        <v>99.724937227057197</v>
      </c>
      <c r="K44">
        <v>8</v>
      </c>
      <c r="L44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70.135489387108677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4.8457218697418316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60.103381078758702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76.946426748085798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43.060314991725399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119.281368492802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9.1</v>
      </c>
      <c r="W44">
        <f>IF((DiscreteStatsTable[[#This Row],[RepsRequested]]&gt;1),DiscreteStatsTable[[#This Row],[HalfWidth]],DiscreteStatsTable[[#This Row],[BatchMeansHalfWidth]])</f>
        <v>3.4664206039329009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4</v>
      </c>
      <c r="D45" t="s">
        <v>77</v>
      </c>
      <c r="E45" t="s">
        <v>75</v>
      </c>
      <c r="F45" t="s">
        <v>76</v>
      </c>
      <c r="G45">
        <v>69.602482889069094</v>
      </c>
      <c r="H45">
        <v>2E+20</v>
      </c>
      <c r="I45">
        <v>50.227802241007097</v>
      </c>
      <c r="J45">
        <v>97.475723166312406</v>
      </c>
      <c r="K45">
        <v>7</v>
      </c>
      <c r="L45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70.135489387108677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4.8457218697418316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60.103381078758702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76.946426748085798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43.060314991725399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119.281368492802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9.1</v>
      </c>
      <c r="W45">
        <f>IF((DiscreteStatsTable[[#This Row],[RepsRequested]]&gt;1),DiscreteStatsTable[[#This Row],[HalfWidth]],DiscreteStatsTable[[#This Row],[BatchMeansHalfWidth]])</f>
        <v>3.4664206039329009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5</v>
      </c>
      <c r="D46" t="s">
        <v>77</v>
      </c>
      <c r="E46" t="s">
        <v>75</v>
      </c>
      <c r="F46" t="s">
        <v>76</v>
      </c>
      <c r="G46">
        <v>60.103381078758702</v>
      </c>
      <c r="H46">
        <v>2E+20</v>
      </c>
      <c r="I46">
        <v>43.060314991725399</v>
      </c>
      <c r="J46">
        <v>79.353422663196596</v>
      </c>
      <c r="K46">
        <v>9</v>
      </c>
      <c r="L46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70.135489387108677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4.8457218697418316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60.103381078758702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76.946426748085798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43.060314991725399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119.281368492802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9.1</v>
      </c>
      <c r="W46">
        <f>IF((DiscreteStatsTable[[#This Row],[RepsRequested]]&gt;1),DiscreteStatsTable[[#This Row],[HalfWidth]],DiscreteStatsTable[[#This Row],[BatchMeansHalfWidth]])</f>
        <v>3.4664206039329009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6</v>
      </c>
      <c r="D47" t="s">
        <v>77</v>
      </c>
      <c r="E47" t="s">
        <v>75</v>
      </c>
      <c r="F47" t="s">
        <v>76</v>
      </c>
      <c r="G47">
        <v>75.979827869177001</v>
      </c>
      <c r="H47">
        <v>2E+20</v>
      </c>
      <c r="I47">
        <v>56.626986922865299</v>
      </c>
      <c r="J47">
        <v>91.982974517808003</v>
      </c>
      <c r="K47">
        <v>10</v>
      </c>
      <c r="L47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70.135489387108677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4.8457218697418316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60.103381078758702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76.946426748085798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43.060314991725399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119.281368492802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9.1</v>
      </c>
      <c r="W47">
        <f>IF((DiscreteStatsTable[[#This Row],[RepsRequested]]&gt;1),DiscreteStatsTable[[#This Row],[HalfWidth]],DiscreteStatsTable[[#This Row],[BatchMeansHalfWidth]])</f>
        <v>3.4664206039329009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7</v>
      </c>
      <c r="D48" t="s">
        <v>77</v>
      </c>
      <c r="E48" t="s">
        <v>75</v>
      </c>
      <c r="F48" t="s">
        <v>76</v>
      </c>
      <c r="G48">
        <v>73.5635700526515</v>
      </c>
      <c r="H48">
        <v>2E+20</v>
      </c>
      <c r="I48">
        <v>50.768320688420097</v>
      </c>
      <c r="J48">
        <v>98.998804684139699</v>
      </c>
      <c r="K48">
        <v>9</v>
      </c>
      <c r="L48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70.135489387108677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4.8457218697418316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60.103381078758702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76.946426748085798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43.060314991725399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119.281368492802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9.1</v>
      </c>
      <c r="W48">
        <f>IF((DiscreteStatsTable[[#This Row],[RepsRequested]]&gt;1),DiscreteStatsTable[[#This Row],[HalfWidth]],DiscreteStatsTable[[#This Row],[BatchMeansHalfWidth]])</f>
        <v>3.4664206039329009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77</v>
      </c>
      <c r="E49" t="s">
        <v>75</v>
      </c>
      <c r="F49" t="s">
        <v>76</v>
      </c>
      <c r="G49">
        <v>70.549787555598996</v>
      </c>
      <c r="H49">
        <v>2E+20</v>
      </c>
      <c r="I49">
        <v>46.966856281960801</v>
      </c>
      <c r="J49">
        <v>93.817977402565205</v>
      </c>
      <c r="K49">
        <v>8</v>
      </c>
      <c r="L49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70.135489387108677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4.8457218697418316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60.103381078758702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76.946426748085798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43.060314991725399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119.281368492802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9.1</v>
      </c>
      <c r="W49">
        <f>IF((DiscreteStatsTable[[#This Row],[RepsRequested]]&gt;1),DiscreteStatsTable[[#This Row],[HalfWidth]],DiscreteStatsTable[[#This Row],[BatchMeansHalfWidth]])</f>
        <v>3.4664206039329009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77</v>
      </c>
      <c r="E50" t="s">
        <v>75</v>
      </c>
      <c r="F50" t="s">
        <v>76</v>
      </c>
      <c r="G50">
        <v>69.6527097544583</v>
      </c>
      <c r="H50">
        <v>2E+20</v>
      </c>
      <c r="I50">
        <v>49.619669076677901</v>
      </c>
      <c r="J50">
        <v>83.747640065904605</v>
      </c>
      <c r="K50">
        <v>9</v>
      </c>
      <c r="L50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70.135489387108677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4.8457218697418316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60.103381078758702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76.946426748085798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43.060314991725399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119.281368492802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9.1</v>
      </c>
      <c r="W50">
        <f>IF((DiscreteStatsTable[[#This Row],[RepsRequested]]&gt;1),DiscreteStatsTable[[#This Row],[HalfWidth]],DiscreteStatsTable[[#This Row],[BatchMeansHalfWidth]])</f>
        <v>3.4664206039329009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10</v>
      </c>
      <c r="D51" t="s">
        <v>77</v>
      </c>
      <c r="E51" t="s">
        <v>75</v>
      </c>
      <c r="F51" t="s">
        <v>76</v>
      </c>
      <c r="G51">
        <v>70.360356364047803</v>
      </c>
      <c r="H51">
        <v>2E+20</v>
      </c>
      <c r="I51">
        <v>50.474216724447402</v>
      </c>
      <c r="J51">
        <v>102.160122612164</v>
      </c>
      <c r="K51">
        <v>9</v>
      </c>
      <c r="L51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70.135489387108677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4.8457218697418316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60.103381078758702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76.946426748085798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43.060314991725399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119.281368492802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9.1</v>
      </c>
      <c r="W51">
        <f>IF((DiscreteStatsTable[[#This Row],[RepsRequested]]&gt;1),DiscreteStatsTable[[#This Row],[HalfWidth]],DiscreteStatsTable[[#This Row],[BatchMeansHalfWidth]])</f>
        <v>3.4664206039329009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1</v>
      </c>
      <c r="D52" t="s">
        <v>78</v>
      </c>
      <c r="E52" t="s">
        <v>75</v>
      </c>
      <c r="F52" t="s">
        <v>76</v>
      </c>
      <c r="G52">
        <v>45.030842375200301</v>
      </c>
      <c r="H52">
        <v>2E+20</v>
      </c>
      <c r="I52">
        <v>27.274994270016201</v>
      </c>
      <c r="J52">
        <v>78.499597813463097</v>
      </c>
      <c r="K52">
        <v>8</v>
      </c>
      <c r="L52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41.480245301861984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6.7551036021783171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33.521703094146403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53.188885435375902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24.599315398531001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78.499597813463097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11</v>
      </c>
      <c r="W52">
        <f>IF((DiscreteStatsTable[[#This Row],[RepsRequested]]&gt;1),DiscreteStatsTable[[#This Row],[HalfWidth]],DiscreteStatsTable[[#This Row],[BatchMeansHalfWidth]])</f>
        <v>4.8323100123655722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2</v>
      </c>
      <c r="D53" t="s">
        <v>78</v>
      </c>
      <c r="E53" t="s">
        <v>75</v>
      </c>
      <c r="F53" t="s">
        <v>76</v>
      </c>
      <c r="G53">
        <v>45.884775425524097</v>
      </c>
      <c r="H53">
        <v>2E+20</v>
      </c>
      <c r="I53">
        <v>31.779266697234199</v>
      </c>
      <c r="J53">
        <v>59.258896985915001</v>
      </c>
      <c r="K53">
        <v>14</v>
      </c>
      <c r="L53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41.480245301861984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6.7551036021783171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33.521703094146403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53.188885435375902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24.599315398531001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78.499597813463097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11</v>
      </c>
      <c r="W53">
        <f>IF((DiscreteStatsTable[[#This Row],[RepsRequested]]&gt;1),DiscreteStatsTable[[#This Row],[HalfWidth]],DiscreteStatsTable[[#This Row],[BatchMeansHalfWidth]])</f>
        <v>4.8323100123655722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3</v>
      </c>
      <c r="D54" t="s">
        <v>78</v>
      </c>
      <c r="E54" t="s">
        <v>75</v>
      </c>
      <c r="F54" t="s">
        <v>76</v>
      </c>
      <c r="G54">
        <v>33.521703094146403</v>
      </c>
      <c r="H54">
        <v>2E+20</v>
      </c>
      <c r="I54">
        <v>29.293027386722301</v>
      </c>
      <c r="J54">
        <v>44.372408001904397</v>
      </c>
      <c r="K54">
        <v>10</v>
      </c>
      <c r="L54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41.480245301861984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6.7551036021783171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33.521703094146403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53.188885435375902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24.599315398531001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78.499597813463097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11</v>
      </c>
      <c r="W54">
        <f>IF((DiscreteStatsTable[[#This Row],[RepsRequested]]&gt;1),DiscreteStatsTable[[#This Row],[HalfWidth]],DiscreteStatsTable[[#This Row],[BatchMeansHalfWidth]])</f>
        <v>4.8323100123655722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4</v>
      </c>
      <c r="D55" t="s">
        <v>78</v>
      </c>
      <c r="E55" t="s">
        <v>75</v>
      </c>
      <c r="F55" t="s">
        <v>76</v>
      </c>
      <c r="G55">
        <v>38.296529258044004</v>
      </c>
      <c r="H55">
        <v>2E+20</v>
      </c>
      <c r="I55">
        <v>28.794312501509602</v>
      </c>
      <c r="J55">
        <v>58.179445421342798</v>
      </c>
      <c r="K55">
        <v>10</v>
      </c>
      <c r="L55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41.480245301861984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6.7551036021783171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33.521703094146403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53.188885435375902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24.599315398531001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78.499597813463097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11</v>
      </c>
      <c r="W55">
        <f>IF((DiscreteStatsTable[[#This Row],[RepsRequested]]&gt;1),DiscreteStatsTable[[#This Row],[HalfWidth]],DiscreteStatsTable[[#This Row],[BatchMeansHalfWidth]])</f>
        <v>4.8323100123655722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5</v>
      </c>
      <c r="D56" t="s">
        <v>78</v>
      </c>
      <c r="E56" t="s">
        <v>75</v>
      </c>
      <c r="F56" t="s">
        <v>76</v>
      </c>
      <c r="G56">
        <v>35.5426263520528</v>
      </c>
      <c r="H56">
        <v>2E+20</v>
      </c>
      <c r="I56">
        <v>27.919642656243401</v>
      </c>
      <c r="J56">
        <v>46.457411341366203</v>
      </c>
      <c r="K56">
        <v>12</v>
      </c>
      <c r="L56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41.480245301861984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6.7551036021783171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33.521703094146403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53.188885435375902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24.599315398531001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78.499597813463097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11</v>
      </c>
      <c r="W56">
        <f>IF((DiscreteStatsTable[[#This Row],[RepsRequested]]&gt;1),DiscreteStatsTable[[#This Row],[HalfWidth]],DiscreteStatsTable[[#This Row],[BatchMeansHalfWidth]])</f>
        <v>4.8323100123655722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6</v>
      </c>
      <c r="D57" t="s">
        <v>78</v>
      </c>
      <c r="E57" t="s">
        <v>75</v>
      </c>
      <c r="F57" t="s">
        <v>76</v>
      </c>
      <c r="G57">
        <v>50.608944787418999</v>
      </c>
      <c r="H57">
        <v>2E+20</v>
      </c>
      <c r="I57">
        <v>26.342298132756898</v>
      </c>
      <c r="J57">
        <v>77.265719463960593</v>
      </c>
      <c r="K57">
        <v>13</v>
      </c>
      <c r="L57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41.480245301861984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6.7551036021783171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33.521703094146403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53.188885435375902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24.599315398531001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78.499597813463097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11</v>
      </c>
      <c r="W57">
        <f>IF((DiscreteStatsTable[[#This Row],[RepsRequested]]&gt;1),DiscreteStatsTable[[#This Row],[HalfWidth]],DiscreteStatsTable[[#This Row],[BatchMeansHalfWidth]])</f>
        <v>4.8323100123655722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7</v>
      </c>
      <c r="D58" t="s">
        <v>78</v>
      </c>
      <c r="E58" t="s">
        <v>75</v>
      </c>
      <c r="F58" t="s">
        <v>76</v>
      </c>
      <c r="G58">
        <v>39.165607025648796</v>
      </c>
      <c r="H58">
        <v>2E+20</v>
      </c>
      <c r="I58">
        <v>29.531920896885001</v>
      </c>
      <c r="J58">
        <v>50.876929085233499</v>
      </c>
      <c r="K58">
        <v>12</v>
      </c>
      <c r="L58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41.480245301861984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6.7551036021783171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33.521703094146403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53.188885435375902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24.599315398531001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78.499597813463097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11</v>
      </c>
      <c r="W58">
        <f>IF((DiscreteStatsTable[[#This Row],[RepsRequested]]&gt;1),DiscreteStatsTable[[#This Row],[HalfWidth]],DiscreteStatsTable[[#This Row],[BatchMeansHalfWidth]])</f>
        <v>4.8323100123655722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8</v>
      </c>
      <c r="D59" t="s">
        <v>78</v>
      </c>
      <c r="E59" t="s">
        <v>75</v>
      </c>
      <c r="F59" t="s">
        <v>76</v>
      </c>
      <c r="G59">
        <v>53.188885435375902</v>
      </c>
      <c r="H59">
        <v>2E+20</v>
      </c>
      <c r="I59">
        <v>37.071623824875502</v>
      </c>
      <c r="J59">
        <v>67.7734394757898</v>
      </c>
      <c r="K59">
        <v>13</v>
      </c>
      <c r="L59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41.480245301861984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6.7551036021783171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33.521703094146403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53.188885435375902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24.599315398531001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78.499597813463097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11</v>
      </c>
      <c r="W59">
        <f>IF((DiscreteStatsTable[[#This Row],[RepsRequested]]&gt;1),DiscreteStatsTable[[#This Row],[HalfWidth]],DiscreteStatsTable[[#This Row],[BatchMeansHalfWidth]])</f>
        <v>4.8323100123655722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9</v>
      </c>
      <c r="D60" t="s">
        <v>78</v>
      </c>
      <c r="E60" t="s">
        <v>75</v>
      </c>
      <c r="F60" t="s">
        <v>76</v>
      </c>
      <c r="G60">
        <v>36.744302882510802</v>
      </c>
      <c r="H60">
        <v>2E+20</v>
      </c>
      <c r="I60">
        <v>24.599315398531001</v>
      </c>
      <c r="J60">
        <v>65.679122643966096</v>
      </c>
      <c r="K60">
        <v>10</v>
      </c>
      <c r="L60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41.480245301861984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6.7551036021783171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33.521703094146403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53.188885435375902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24.599315398531001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78.499597813463097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11</v>
      </c>
      <c r="W60">
        <f>IF((DiscreteStatsTable[[#This Row],[RepsRequested]]&gt;1),DiscreteStatsTable[[#This Row],[HalfWidth]],DiscreteStatsTable[[#This Row],[BatchMeansHalfWidth]])</f>
        <v>4.8323100123655722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78</v>
      </c>
      <c r="E61" t="s">
        <v>75</v>
      </c>
      <c r="F61" t="s">
        <v>76</v>
      </c>
      <c r="G61">
        <v>36.818236382697798</v>
      </c>
      <c r="H61">
        <v>2E+20</v>
      </c>
      <c r="I61">
        <v>26.725129481114099</v>
      </c>
      <c r="J61">
        <v>54.007834102682303</v>
      </c>
      <c r="K61">
        <v>8</v>
      </c>
      <c r="L61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41.480245301861984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6.7551036021783171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33.521703094146403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53.188885435375902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24.599315398531001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78.499597813463097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11</v>
      </c>
      <c r="W61">
        <f>IF((DiscreteStatsTable[[#This Row],[RepsRequested]]&gt;1),DiscreteStatsTable[[#This Row],[HalfWidth]],DiscreteStatsTable[[#This Row],[BatchMeansHalfWidth]])</f>
        <v>4.8323100123655722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</v>
      </c>
      <c r="D62" t="s">
        <v>79</v>
      </c>
      <c r="E62" t="s">
        <v>75</v>
      </c>
      <c r="F62" t="s">
        <v>76</v>
      </c>
      <c r="G62">
        <v>57.852123951402099</v>
      </c>
      <c r="H62">
        <v>2E+20</v>
      </c>
      <c r="I62">
        <v>33.843201795533702</v>
      </c>
      <c r="J62">
        <v>94.196845554717797</v>
      </c>
      <c r="K62">
        <v>12</v>
      </c>
      <c r="L62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50.580256818777187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5.7250108439810763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43.309307456693901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57.852123951402099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30.9310144170956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96.993071741156299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11.4</v>
      </c>
      <c r="W62">
        <f>IF((DiscreteStatsTable[[#This Row],[RepsRequested]]&gt;1),DiscreteStatsTable[[#This Row],[HalfWidth]],DiscreteStatsTable[[#This Row],[BatchMeansHalfWidth]])</f>
        <v>4.0954260439988062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2</v>
      </c>
      <c r="D63" t="s">
        <v>79</v>
      </c>
      <c r="E63" t="s">
        <v>75</v>
      </c>
      <c r="F63" t="s">
        <v>76</v>
      </c>
      <c r="G63">
        <v>45.086861905457503</v>
      </c>
      <c r="H63">
        <v>2E+20</v>
      </c>
      <c r="I63">
        <v>34.051865766180299</v>
      </c>
      <c r="J63">
        <v>59.570387894475999</v>
      </c>
      <c r="K63">
        <v>10</v>
      </c>
      <c r="L63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50.580256818777187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5.7250108439810763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43.309307456693901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57.852123951402099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30.9310144170956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96.993071741156299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11.4</v>
      </c>
      <c r="W63">
        <f>IF((DiscreteStatsTable[[#This Row],[RepsRequested]]&gt;1),DiscreteStatsTable[[#This Row],[HalfWidth]],DiscreteStatsTable[[#This Row],[BatchMeansHalfWidth]])</f>
        <v>4.0954260439988062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3</v>
      </c>
      <c r="D64" t="s">
        <v>79</v>
      </c>
      <c r="E64" t="s">
        <v>75</v>
      </c>
      <c r="F64" t="s">
        <v>76</v>
      </c>
      <c r="G64">
        <v>48.125146290260403</v>
      </c>
      <c r="H64">
        <v>2E+20</v>
      </c>
      <c r="I64">
        <v>32.4686687610508</v>
      </c>
      <c r="J64">
        <v>87.128502541094093</v>
      </c>
      <c r="K64">
        <v>12</v>
      </c>
      <c r="L64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50.580256818777187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5.7250108439810763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43.309307456693901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57.852123951402099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30.9310144170956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96.993071741156299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11.4</v>
      </c>
      <c r="W64">
        <f>IF((DiscreteStatsTable[[#This Row],[RepsRequested]]&gt;1),DiscreteStatsTable[[#This Row],[HalfWidth]],DiscreteStatsTable[[#This Row],[BatchMeansHalfWidth]])</f>
        <v>4.0954260439988062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4</v>
      </c>
      <c r="D65" t="s">
        <v>79</v>
      </c>
      <c r="E65" t="s">
        <v>75</v>
      </c>
      <c r="F65" t="s">
        <v>76</v>
      </c>
      <c r="G65">
        <v>53.732529548833099</v>
      </c>
      <c r="H65">
        <v>2E+20</v>
      </c>
      <c r="I65">
        <v>35.898534997393803</v>
      </c>
      <c r="J65">
        <v>75.250903188082006</v>
      </c>
      <c r="K65">
        <v>11</v>
      </c>
      <c r="L65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50.580256818777187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5.7250108439810763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43.309307456693901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57.852123951402099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30.9310144170956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96.993071741156299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11.4</v>
      </c>
      <c r="W65">
        <f>IF((DiscreteStatsTable[[#This Row],[RepsRequested]]&gt;1),DiscreteStatsTable[[#This Row],[HalfWidth]],DiscreteStatsTable[[#This Row],[BatchMeansHalfWidth]])</f>
        <v>4.0954260439988062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5</v>
      </c>
      <c r="D66" t="s">
        <v>79</v>
      </c>
      <c r="E66" t="s">
        <v>75</v>
      </c>
      <c r="F66" t="s">
        <v>76</v>
      </c>
      <c r="G66">
        <v>43.836381030600201</v>
      </c>
      <c r="H66">
        <v>2E+20</v>
      </c>
      <c r="I66">
        <v>33.553023236499001</v>
      </c>
      <c r="J66">
        <v>67.917561426639296</v>
      </c>
      <c r="K66">
        <v>14</v>
      </c>
      <c r="L66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50.580256818777187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5.7250108439810763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43.309307456693901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57.852123951402099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30.9310144170956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96.993071741156299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11.4</v>
      </c>
      <c r="W66">
        <f>IF((DiscreteStatsTable[[#This Row],[RepsRequested]]&gt;1),DiscreteStatsTable[[#This Row],[HalfWidth]],DiscreteStatsTable[[#This Row],[BatchMeansHalfWidth]])</f>
        <v>4.0954260439988062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6</v>
      </c>
      <c r="D67" t="s">
        <v>79</v>
      </c>
      <c r="E67" t="s">
        <v>75</v>
      </c>
      <c r="F67" t="s">
        <v>76</v>
      </c>
      <c r="G67">
        <v>46.785301354134099</v>
      </c>
      <c r="H67">
        <v>2E+20</v>
      </c>
      <c r="I67">
        <v>30.9310144170956</v>
      </c>
      <c r="J67">
        <v>74.052567635113206</v>
      </c>
      <c r="K67">
        <v>8</v>
      </c>
      <c r="L67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50.580256818777187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5.7250108439810763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43.309307456693901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57.852123951402099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30.9310144170956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96.993071741156299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11.4</v>
      </c>
      <c r="W67">
        <f>IF((DiscreteStatsTable[[#This Row],[RepsRequested]]&gt;1),DiscreteStatsTable[[#This Row],[HalfWidth]],DiscreteStatsTable[[#This Row],[BatchMeansHalfWidth]])</f>
        <v>4.0954260439988062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7</v>
      </c>
      <c r="D68" t="s">
        <v>79</v>
      </c>
      <c r="E68" t="s">
        <v>75</v>
      </c>
      <c r="F68" t="s">
        <v>76</v>
      </c>
      <c r="G68">
        <v>43.309307456693901</v>
      </c>
      <c r="H68">
        <v>2E+20</v>
      </c>
      <c r="I68">
        <v>33.372364645818401</v>
      </c>
      <c r="J68">
        <v>61.036332343549098</v>
      </c>
      <c r="K68">
        <v>10</v>
      </c>
      <c r="L68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50.580256818777187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5.7250108439810763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43.309307456693901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57.852123951402099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30.9310144170956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96.993071741156299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11.4</v>
      </c>
      <c r="W68">
        <f>IF((DiscreteStatsTable[[#This Row],[RepsRequested]]&gt;1),DiscreteStatsTable[[#This Row],[HalfWidth]],DiscreteStatsTable[[#This Row],[BatchMeansHalfWidth]])</f>
        <v>4.0954260439988062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8</v>
      </c>
      <c r="D69" t="s">
        <v>79</v>
      </c>
      <c r="E69" t="s">
        <v>75</v>
      </c>
      <c r="F69" t="s">
        <v>76</v>
      </c>
      <c r="G69">
        <v>56.7378475018823</v>
      </c>
      <c r="H69">
        <v>2E+20</v>
      </c>
      <c r="I69">
        <v>36.562204124257697</v>
      </c>
      <c r="J69">
        <v>96.993071741156299</v>
      </c>
      <c r="K69">
        <v>14</v>
      </c>
      <c r="L69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50.580256818777187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5.7250108439810763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43.309307456693901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57.852123951402099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30.9310144170956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96.993071741156299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11.4</v>
      </c>
      <c r="W69">
        <f>IF((DiscreteStatsTable[[#This Row],[RepsRequested]]&gt;1),DiscreteStatsTable[[#This Row],[HalfWidth]],DiscreteStatsTable[[#This Row],[BatchMeansHalfWidth]])</f>
        <v>4.0954260439988062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9</v>
      </c>
      <c r="D70" t="s">
        <v>79</v>
      </c>
      <c r="E70" t="s">
        <v>75</v>
      </c>
      <c r="F70" t="s">
        <v>76</v>
      </c>
      <c r="G70">
        <v>56.431695557412802</v>
      </c>
      <c r="H70">
        <v>2E+20</v>
      </c>
      <c r="I70">
        <v>35.123754584928101</v>
      </c>
      <c r="J70">
        <v>77.777697900936801</v>
      </c>
      <c r="K70">
        <v>12</v>
      </c>
      <c r="L70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50.580256818777187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5.7250108439810763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43.309307456693901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57.852123951402099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30.9310144170956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96.993071741156299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11.4</v>
      </c>
      <c r="W70">
        <f>IF((DiscreteStatsTable[[#This Row],[RepsRequested]]&gt;1),DiscreteStatsTable[[#This Row],[HalfWidth]],DiscreteStatsTable[[#This Row],[BatchMeansHalfWidth]])</f>
        <v>4.0954260439988062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10</v>
      </c>
      <c r="D71" t="s">
        <v>79</v>
      </c>
      <c r="E71" t="s">
        <v>75</v>
      </c>
      <c r="F71" t="s">
        <v>76</v>
      </c>
      <c r="G71">
        <v>53.905373591095497</v>
      </c>
      <c r="H71">
        <v>2E+20</v>
      </c>
      <c r="I71">
        <v>33.084702377688899</v>
      </c>
      <c r="J71">
        <v>74.600760097779002</v>
      </c>
      <c r="K71">
        <v>11</v>
      </c>
      <c r="L71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50.580256818777187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5.7250108439810763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43.309307456693901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57.852123951402099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30.9310144170956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96.993071741156299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11.4</v>
      </c>
      <c r="W71">
        <f>IF((DiscreteStatsTable[[#This Row],[RepsRequested]]&gt;1),DiscreteStatsTable[[#This Row],[HalfWidth]],DiscreteStatsTable[[#This Row],[BatchMeansHalfWidth]])</f>
        <v>4.0954260439988062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</v>
      </c>
      <c r="D72" t="s">
        <v>80</v>
      </c>
      <c r="E72" t="s">
        <v>81</v>
      </c>
      <c r="F72" t="s">
        <v>82</v>
      </c>
      <c r="G72">
        <v>0</v>
      </c>
      <c r="H72">
        <v>2E+20</v>
      </c>
      <c r="I72">
        <v>0</v>
      </c>
      <c r="J72">
        <v>0</v>
      </c>
      <c r="K72">
        <v>10</v>
      </c>
      <c r="L72" t="str">
        <f>DiscreteStatsTable[[#This Row],[ProjectName]]&amp;DiscreteStatsTable[[#This Row],[Name]]&amp;DiscreteStatsTable[[#This Row],[Type]]&amp;DiscreteStatsTable[[#This Row],[Source]]</f>
        <v>Unnamed ProjectType1NVA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11.1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</v>
      </c>
      <c r="D73" t="s">
        <v>80</v>
      </c>
      <c r="E73" t="s">
        <v>83</v>
      </c>
      <c r="F73" t="s">
        <v>82</v>
      </c>
      <c r="G73">
        <v>0</v>
      </c>
      <c r="H73">
        <v>2E+20</v>
      </c>
      <c r="I73">
        <v>0</v>
      </c>
      <c r="J73">
        <v>0</v>
      </c>
      <c r="K73">
        <v>10</v>
      </c>
      <c r="L73" t="str">
        <f>DiscreteStatsTable[[#This Row],[ProjectName]]&amp;DiscreteStatsTable[[#This Row],[Name]]&amp;DiscreteStatsTable[[#This Row],[Type]]&amp;DiscreteStatsTable[[#This Row],[Source]]</f>
        <v>Unnamed ProjectType1Other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11.1</v>
      </c>
      <c r="W73">
        <f>IF((DiscreteStatsTable[[#This Row],[RepsRequested]]&gt;1),DiscreteStatsTable[[#This Row],[HalfWidth]],DiscreteStatsTable[[#This Row],[BatchMeansHalfWidth]])</f>
        <v>0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</v>
      </c>
      <c r="D74" t="s">
        <v>80</v>
      </c>
      <c r="E74" t="s">
        <v>84</v>
      </c>
      <c r="F74" t="s">
        <v>82</v>
      </c>
      <c r="G74">
        <v>46.426608565997903</v>
      </c>
      <c r="H74">
        <v>2E+20</v>
      </c>
      <c r="I74">
        <v>28.5887394475752</v>
      </c>
      <c r="J74">
        <v>62.855772453280601</v>
      </c>
      <c r="K74">
        <v>10</v>
      </c>
      <c r="L74" t="str">
        <f>DiscreteStatsTable[[#This Row],[ProjectName]]&amp;DiscreteStatsTable[[#This Row],[Name]]&amp;DiscreteStatsTable[[#This Row],[Type]]&amp;DiscreteStatsTable[[#This Row],[Source]]</f>
        <v>Unnamed ProjectType1Total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46.782687634168497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5.9210287115671854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38.244117897627703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59.445484583842699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26.9877163177472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74.063595201744505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11.1</v>
      </c>
      <c r="W74">
        <f>IF((DiscreteStatsTable[[#This Row],[RepsRequested]]&gt;1),DiscreteStatsTable[[#This Row],[HalfWidth]],DiscreteStatsTable[[#This Row],[BatchMeansHalfWidth]])</f>
        <v>4.2356487792701722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</v>
      </c>
      <c r="D75" t="s">
        <v>80</v>
      </c>
      <c r="E75" t="s">
        <v>85</v>
      </c>
      <c r="F75" t="s">
        <v>82</v>
      </c>
      <c r="G75">
        <v>9</v>
      </c>
      <c r="H75">
        <v>2E+20</v>
      </c>
      <c r="I75">
        <v>9</v>
      </c>
      <c r="J75">
        <v>9.0000000000000107</v>
      </c>
      <c r="K75">
        <v>10</v>
      </c>
      <c r="L75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9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9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9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9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9.0000000000000107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11.1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</v>
      </c>
      <c r="D76" t="s">
        <v>80</v>
      </c>
      <c r="E76" t="s">
        <v>86</v>
      </c>
      <c r="F76" t="s">
        <v>82</v>
      </c>
      <c r="G76">
        <v>24.203443145085402</v>
      </c>
      <c r="H76">
        <v>2E+20</v>
      </c>
      <c r="I76">
        <v>19.5887394475752</v>
      </c>
      <c r="J76">
        <v>30.287744826019001</v>
      </c>
      <c r="K76">
        <v>10</v>
      </c>
      <c r="L76" t="str">
        <f>DiscreteStatsTable[[#This Row],[ProjectName]]&amp;DiscreteStatsTable[[#This Row],[Name]]&amp;DiscreteStatsTable[[#This Row],[Type]]&amp;DiscreteStatsTable[[#This Row],[Source]]</f>
        <v>Unnamed ProjectType1VA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23.77506534516731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1.0125326462058606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21.581816415042301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25.037450103809601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14.998916247217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33.7961547858594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11.1</v>
      </c>
      <c r="W76">
        <f>IF((DiscreteStatsTable[[#This Row],[RepsRequested]]&gt;1),DiscreteStatsTable[[#This Row],[HalfWidth]],DiscreteStatsTable[[#This Row],[BatchMeansHalfWidth]])</f>
        <v>0.72432222098411403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</v>
      </c>
      <c r="D77" t="s">
        <v>80</v>
      </c>
      <c r="E77" t="s">
        <v>87</v>
      </c>
      <c r="F77" t="s">
        <v>82</v>
      </c>
      <c r="G77">
        <v>13.223165420912499</v>
      </c>
      <c r="H77">
        <v>2E+20</v>
      </c>
      <c r="I77">
        <v>0</v>
      </c>
      <c r="J77">
        <v>31.8092576983051</v>
      </c>
      <c r="K77">
        <v>10</v>
      </c>
      <c r="L77" t="str">
        <f>DiscreteStatsTable[[#This Row],[ProjectName]]&amp;DiscreteStatsTable[[#This Row],[Name]]&amp;DiscreteStatsTable[[#This Row],[Type]]&amp;DiscreteStatsTable[[#This Row],[Source]]</f>
        <v>Unnamed ProjectType1Wait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14.007622289001173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5.5286623892890034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5.5973546894127502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25.950419734396998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41.275755192244297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11.1</v>
      </c>
      <c r="W77">
        <f>IF((DiscreteStatsTable[[#This Row],[RepsRequested]]&gt;1),DiscreteStatsTable[[#This Row],[HalfWidth]],DiscreteStatsTable[[#This Row],[BatchMeansHalfWidth]])</f>
        <v>3.9549668209581639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2</v>
      </c>
      <c r="D78" t="s">
        <v>80</v>
      </c>
      <c r="E78" t="s">
        <v>81</v>
      </c>
      <c r="F78" t="s">
        <v>82</v>
      </c>
      <c r="G78">
        <v>0</v>
      </c>
      <c r="H78">
        <v>2E+20</v>
      </c>
      <c r="I78">
        <v>0</v>
      </c>
      <c r="J78">
        <v>0</v>
      </c>
      <c r="K78">
        <v>9</v>
      </c>
      <c r="L78" t="str">
        <f>DiscreteStatsTable[[#This Row],[ProjectName]]&amp;DiscreteStatsTable[[#This Row],[Name]]&amp;DiscreteStatsTable[[#This Row],[Type]]&amp;DiscreteStatsTable[[#This Row],[Source]]</f>
        <v>Unnamed ProjectType1NVA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11.1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2</v>
      </c>
      <c r="D79" t="s">
        <v>80</v>
      </c>
      <c r="E79" t="s">
        <v>83</v>
      </c>
      <c r="F79" t="s">
        <v>82</v>
      </c>
      <c r="G79">
        <v>0</v>
      </c>
      <c r="H79">
        <v>2E+20</v>
      </c>
      <c r="I79">
        <v>0</v>
      </c>
      <c r="J79">
        <v>0</v>
      </c>
      <c r="K79">
        <v>9</v>
      </c>
      <c r="L79" t="str">
        <f>DiscreteStatsTable[[#This Row],[ProjectName]]&amp;DiscreteStatsTable[[#This Row],[Name]]&amp;DiscreteStatsTable[[#This Row],[Type]]&amp;DiscreteStatsTable[[#This Row],[Source]]</f>
        <v>Unnamed ProjectType1Other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11.1</v>
      </c>
      <c r="W79">
        <f>IF((DiscreteStatsTable[[#This Row],[RepsRequested]]&gt;1),DiscreteStatsTable[[#This Row],[HalfWidth]],DiscreteStatsTable[[#This Row],[BatchMeansHalfWidth]])</f>
        <v>0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2</v>
      </c>
      <c r="D80" t="s">
        <v>80</v>
      </c>
      <c r="E80" t="s">
        <v>84</v>
      </c>
      <c r="F80" t="s">
        <v>82</v>
      </c>
      <c r="G80">
        <v>48.9877900049798</v>
      </c>
      <c r="H80">
        <v>2E+20</v>
      </c>
      <c r="I80">
        <v>38.5569243398091</v>
      </c>
      <c r="J80">
        <v>67.764376104860801</v>
      </c>
      <c r="K80">
        <v>9</v>
      </c>
      <c r="L80" t="str">
        <f>DiscreteStatsTable[[#This Row],[ProjectName]]&amp;DiscreteStatsTable[[#This Row],[Name]]&amp;DiscreteStatsTable[[#This Row],[Type]]&amp;DiscreteStatsTable[[#This Row],[Source]]</f>
        <v>Unnamed ProjectType1Total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46.782687634168497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5.9210287115671854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38.244117897627703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59.445484583842699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26.9877163177472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74.063595201744505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11.1</v>
      </c>
      <c r="W80">
        <f>IF((DiscreteStatsTable[[#This Row],[RepsRequested]]&gt;1),DiscreteStatsTable[[#This Row],[HalfWidth]],DiscreteStatsTable[[#This Row],[BatchMeansHalfWidth]])</f>
        <v>4.2356487792701722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2</v>
      </c>
      <c r="D81" t="s">
        <v>80</v>
      </c>
      <c r="E81" t="s">
        <v>85</v>
      </c>
      <c r="F81" t="s">
        <v>82</v>
      </c>
      <c r="G81">
        <v>9</v>
      </c>
      <c r="H81">
        <v>2E+20</v>
      </c>
      <c r="I81">
        <v>9</v>
      </c>
      <c r="J81">
        <v>9</v>
      </c>
      <c r="K81">
        <v>9</v>
      </c>
      <c r="L81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9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9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9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9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9.0000000000000107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11.1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2</v>
      </c>
      <c r="D82" t="s">
        <v>80</v>
      </c>
      <c r="E82" t="s">
        <v>86</v>
      </c>
      <c r="F82" t="s">
        <v>82</v>
      </c>
      <c r="G82">
        <v>23.993683321745198</v>
      </c>
      <c r="H82">
        <v>2E+20</v>
      </c>
      <c r="I82">
        <v>15.9300898616747</v>
      </c>
      <c r="J82">
        <v>33.587062429408903</v>
      </c>
      <c r="K82">
        <v>9</v>
      </c>
      <c r="L82" t="str">
        <f>DiscreteStatsTable[[#This Row],[ProjectName]]&amp;DiscreteStatsTable[[#This Row],[Name]]&amp;DiscreteStatsTable[[#This Row],[Type]]&amp;DiscreteStatsTable[[#This Row],[Source]]</f>
        <v>Unnamed ProjectType1VA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23.77506534516731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1.0125326462058606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21.581816415042301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25.037450103809601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14.998916247217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33.7961547858594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11.1</v>
      </c>
      <c r="W82">
        <f>IF((DiscreteStatsTable[[#This Row],[RepsRequested]]&gt;1),DiscreteStatsTable[[#This Row],[HalfWidth]],DiscreteStatsTable[[#This Row],[BatchMeansHalfWidth]])</f>
        <v>0.72432222098411403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2</v>
      </c>
      <c r="D83" t="s">
        <v>80</v>
      </c>
      <c r="E83" t="s">
        <v>87</v>
      </c>
      <c r="F83" t="s">
        <v>82</v>
      </c>
      <c r="G83">
        <v>15.9941066832346</v>
      </c>
      <c r="H83">
        <v>2E+20</v>
      </c>
      <c r="I83">
        <v>0</v>
      </c>
      <c r="J83">
        <v>33.350372750781197</v>
      </c>
      <c r="K83">
        <v>9</v>
      </c>
      <c r="L83" t="str">
        <f>DiscreteStatsTable[[#This Row],[ProjectName]]&amp;DiscreteStatsTable[[#This Row],[Name]]&amp;DiscreteStatsTable[[#This Row],[Type]]&amp;DiscreteStatsTable[[#This Row],[Source]]</f>
        <v>Unnamed ProjectType1Wait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14.007622289001173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5.5286623892890034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5.5973546894127502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25.950419734396998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41.275755192244297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11.1</v>
      </c>
      <c r="W83">
        <f>IF((DiscreteStatsTable[[#This Row],[RepsRequested]]&gt;1),DiscreteStatsTable[[#This Row],[HalfWidth]],DiscreteStatsTable[[#This Row],[BatchMeansHalfWidth]])</f>
        <v>3.9549668209581639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3</v>
      </c>
      <c r="D84" t="s">
        <v>80</v>
      </c>
      <c r="E84" t="s">
        <v>81</v>
      </c>
      <c r="F84" t="s">
        <v>82</v>
      </c>
      <c r="G84">
        <v>0</v>
      </c>
      <c r="H84">
        <v>2E+20</v>
      </c>
      <c r="I84">
        <v>0</v>
      </c>
      <c r="J84">
        <v>0</v>
      </c>
      <c r="K84">
        <v>12</v>
      </c>
      <c r="L84" t="str">
        <f>DiscreteStatsTable[[#This Row],[ProjectName]]&amp;DiscreteStatsTable[[#This Row],[Name]]&amp;DiscreteStatsTable[[#This Row],[Type]]&amp;DiscreteStatsTable[[#This Row],[Source]]</f>
        <v>Unnamed ProjectType1NVA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11.1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3</v>
      </c>
      <c r="D85" t="s">
        <v>80</v>
      </c>
      <c r="E85" t="s">
        <v>83</v>
      </c>
      <c r="F85" t="s">
        <v>82</v>
      </c>
      <c r="G85">
        <v>0</v>
      </c>
      <c r="H85">
        <v>2E+20</v>
      </c>
      <c r="I85">
        <v>0</v>
      </c>
      <c r="J85">
        <v>0</v>
      </c>
      <c r="K85">
        <v>12</v>
      </c>
      <c r="L85" t="str">
        <f>DiscreteStatsTable[[#This Row],[ProjectName]]&amp;DiscreteStatsTable[[#This Row],[Name]]&amp;DiscreteStatsTable[[#This Row],[Type]]&amp;DiscreteStatsTable[[#This Row],[Source]]</f>
        <v>Unnamed ProjectType1Other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11.1</v>
      </c>
      <c r="W85">
        <f>IF((DiscreteStatsTable[[#This Row],[RepsRequested]]&gt;1),DiscreteStatsTable[[#This Row],[HalfWidth]],DiscreteStatsTable[[#This Row],[BatchMeansHalfWidth]])</f>
        <v>0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3</v>
      </c>
      <c r="D86" t="s">
        <v>80</v>
      </c>
      <c r="E86" t="s">
        <v>84</v>
      </c>
      <c r="F86" t="s">
        <v>82</v>
      </c>
      <c r="G86">
        <v>41.8020767177171</v>
      </c>
      <c r="H86">
        <v>2E+20</v>
      </c>
      <c r="I86">
        <v>26.9877163177472</v>
      </c>
      <c r="J86">
        <v>54.520002280470401</v>
      </c>
      <c r="K86">
        <v>12</v>
      </c>
      <c r="L86" t="str">
        <f>DiscreteStatsTable[[#This Row],[ProjectName]]&amp;DiscreteStatsTable[[#This Row],[Name]]&amp;DiscreteStatsTable[[#This Row],[Type]]&amp;DiscreteStatsTable[[#This Row],[Source]]</f>
        <v>Unnamed ProjectType1Total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46.782687634168497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5.9210287115671854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38.244117897627703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59.445484583842699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26.9877163177472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74.063595201744505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11.1</v>
      </c>
      <c r="W86">
        <f>IF((DiscreteStatsTable[[#This Row],[RepsRequested]]&gt;1),DiscreteStatsTable[[#This Row],[HalfWidth]],DiscreteStatsTable[[#This Row],[BatchMeansHalfWidth]])</f>
        <v>4.2356487792701722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3</v>
      </c>
      <c r="D87" t="s">
        <v>80</v>
      </c>
      <c r="E87" t="s">
        <v>85</v>
      </c>
      <c r="F87" t="s">
        <v>82</v>
      </c>
      <c r="G87">
        <v>9</v>
      </c>
      <c r="H87">
        <v>2E+20</v>
      </c>
      <c r="I87">
        <v>9</v>
      </c>
      <c r="J87">
        <v>9</v>
      </c>
      <c r="K87">
        <v>12</v>
      </c>
      <c r="L87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9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9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9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9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9.0000000000000107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11.1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3</v>
      </c>
      <c r="D88" t="s">
        <v>80</v>
      </c>
      <c r="E88" t="s">
        <v>86</v>
      </c>
      <c r="F88" t="s">
        <v>82</v>
      </c>
      <c r="G88">
        <v>22.860378501571599</v>
      </c>
      <c r="H88">
        <v>2E+20</v>
      </c>
      <c r="I88">
        <v>17.9877163177472</v>
      </c>
      <c r="J88">
        <v>29.9811699837113</v>
      </c>
      <c r="K88">
        <v>12</v>
      </c>
      <c r="L88" t="str">
        <f>DiscreteStatsTable[[#This Row],[ProjectName]]&amp;DiscreteStatsTable[[#This Row],[Name]]&amp;DiscreteStatsTable[[#This Row],[Type]]&amp;DiscreteStatsTable[[#This Row],[Source]]</f>
        <v>Unnamed ProjectType1VA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23.77506534516731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1.0125326462058606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21.581816415042301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25.037450103809601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14.998916247217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33.7961547858594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11.1</v>
      </c>
      <c r="W88">
        <f>IF((DiscreteStatsTable[[#This Row],[RepsRequested]]&gt;1),DiscreteStatsTable[[#This Row],[HalfWidth]],DiscreteStatsTable[[#This Row],[BatchMeansHalfWidth]])</f>
        <v>0.72432222098411403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3</v>
      </c>
      <c r="D89" t="s">
        <v>80</v>
      </c>
      <c r="E89" t="s">
        <v>87</v>
      </c>
      <c r="F89" t="s">
        <v>82</v>
      </c>
      <c r="G89">
        <v>9.9416982161454399</v>
      </c>
      <c r="H89">
        <v>2E+20</v>
      </c>
      <c r="I89">
        <v>0</v>
      </c>
      <c r="J89">
        <v>24.133474403908401</v>
      </c>
      <c r="K89">
        <v>12</v>
      </c>
      <c r="L89" t="str">
        <f>DiscreteStatsTable[[#This Row],[ProjectName]]&amp;DiscreteStatsTable[[#This Row],[Name]]&amp;DiscreteStatsTable[[#This Row],[Type]]&amp;DiscreteStatsTable[[#This Row],[Source]]</f>
        <v>Unnamed ProjectType1Wait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14.007622289001173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5.5286623892890034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5.5973546894127502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25.950419734396998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41.275755192244297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11.1</v>
      </c>
      <c r="W89">
        <f>IF((DiscreteStatsTable[[#This Row],[RepsRequested]]&gt;1),DiscreteStatsTable[[#This Row],[HalfWidth]],DiscreteStatsTable[[#This Row],[BatchMeansHalfWidth]])</f>
        <v>3.9549668209581639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4</v>
      </c>
      <c r="D90" t="s">
        <v>80</v>
      </c>
      <c r="E90" t="s">
        <v>81</v>
      </c>
      <c r="F90" t="s">
        <v>82</v>
      </c>
      <c r="G90">
        <v>0</v>
      </c>
      <c r="H90">
        <v>2E+20</v>
      </c>
      <c r="I90">
        <v>0</v>
      </c>
      <c r="J90">
        <v>0</v>
      </c>
      <c r="K90">
        <v>15</v>
      </c>
      <c r="L90" t="str">
        <f>DiscreteStatsTable[[#This Row],[ProjectName]]&amp;DiscreteStatsTable[[#This Row],[Name]]&amp;DiscreteStatsTable[[#This Row],[Type]]&amp;DiscreteStatsTable[[#This Row],[Source]]</f>
        <v>Unnamed ProjectType1NVA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11.1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4</v>
      </c>
      <c r="D91" t="s">
        <v>80</v>
      </c>
      <c r="E91" t="s">
        <v>83</v>
      </c>
      <c r="F91" t="s">
        <v>82</v>
      </c>
      <c r="G91">
        <v>0</v>
      </c>
      <c r="H91">
        <v>2E+20</v>
      </c>
      <c r="I91">
        <v>0</v>
      </c>
      <c r="J91">
        <v>0</v>
      </c>
      <c r="K91">
        <v>15</v>
      </c>
      <c r="L91" t="str">
        <f>DiscreteStatsTable[[#This Row],[ProjectName]]&amp;DiscreteStatsTable[[#This Row],[Name]]&amp;DiscreteStatsTable[[#This Row],[Type]]&amp;DiscreteStatsTable[[#This Row],[Source]]</f>
        <v>Unnamed ProjectType1Other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11.1</v>
      </c>
      <c r="W91">
        <f>IF((DiscreteStatsTable[[#This Row],[RepsRequested]]&gt;1),DiscreteStatsTable[[#This Row],[HalfWidth]],DiscreteStatsTable[[#This Row],[BatchMeansHalfWidth]])</f>
        <v>0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4</v>
      </c>
      <c r="D92" t="s">
        <v>80</v>
      </c>
      <c r="E92" t="s">
        <v>84</v>
      </c>
      <c r="F92" t="s">
        <v>82</v>
      </c>
      <c r="G92">
        <v>49.399613290225197</v>
      </c>
      <c r="H92">
        <v>2E+20</v>
      </c>
      <c r="I92">
        <v>35.442750620857502</v>
      </c>
      <c r="J92">
        <v>61.7344062843177</v>
      </c>
      <c r="K92">
        <v>15</v>
      </c>
      <c r="L92" t="str">
        <f>DiscreteStatsTable[[#This Row],[ProjectName]]&amp;DiscreteStatsTable[[#This Row],[Name]]&amp;DiscreteStatsTable[[#This Row],[Type]]&amp;DiscreteStatsTable[[#This Row],[Source]]</f>
        <v>Unnamed ProjectType1Total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46.782687634168497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5.9210287115671854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38.244117897627703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59.445484583842699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26.9877163177472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74.063595201744505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11.1</v>
      </c>
      <c r="W92">
        <f>IF((DiscreteStatsTable[[#This Row],[RepsRequested]]&gt;1),DiscreteStatsTable[[#This Row],[HalfWidth]],DiscreteStatsTable[[#This Row],[BatchMeansHalfWidth]])</f>
        <v>4.2356487792701722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4</v>
      </c>
      <c r="D93" t="s">
        <v>80</v>
      </c>
      <c r="E93" t="s">
        <v>85</v>
      </c>
      <c r="F93" t="s">
        <v>82</v>
      </c>
      <c r="G93">
        <v>9</v>
      </c>
      <c r="H93">
        <v>2E+20</v>
      </c>
      <c r="I93">
        <v>9</v>
      </c>
      <c r="J93">
        <v>9</v>
      </c>
      <c r="K93">
        <v>15</v>
      </c>
      <c r="L93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9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9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9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9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9.0000000000000107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11.1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4</v>
      </c>
      <c r="D94" t="s">
        <v>80</v>
      </c>
      <c r="E94" t="s">
        <v>86</v>
      </c>
      <c r="F94" t="s">
        <v>82</v>
      </c>
      <c r="G94">
        <v>23.981539542296801</v>
      </c>
      <c r="H94">
        <v>2E+20</v>
      </c>
      <c r="I94">
        <v>18.968766576657401</v>
      </c>
      <c r="J94">
        <v>30.330253730364301</v>
      </c>
      <c r="K94">
        <v>15</v>
      </c>
      <c r="L94" t="str">
        <f>DiscreteStatsTable[[#This Row],[ProjectName]]&amp;DiscreteStatsTable[[#This Row],[Name]]&amp;DiscreteStatsTable[[#This Row],[Type]]&amp;DiscreteStatsTable[[#This Row],[Source]]</f>
        <v>Unnamed ProjectType1VA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23.77506534516731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1.0125326462058606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21.581816415042301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25.037450103809601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14.998916247217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33.7961547858594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11.1</v>
      </c>
      <c r="W94">
        <f>IF((DiscreteStatsTable[[#This Row],[RepsRequested]]&gt;1),DiscreteStatsTable[[#This Row],[HalfWidth]],DiscreteStatsTable[[#This Row],[BatchMeansHalfWidth]])</f>
        <v>0.72432222098411403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4</v>
      </c>
      <c r="D95" t="s">
        <v>80</v>
      </c>
      <c r="E95" t="s">
        <v>87</v>
      </c>
      <c r="F95" t="s">
        <v>82</v>
      </c>
      <c r="G95">
        <v>16.4180737479284</v>
      </c>
      <c r="H95">
        <v>2E+20</v>
      </c>
      <c r="I95">
        <v>4.1925561471283999</v>
      </c>
      <c r="J95">
        <v>33.765639707660199</v>
      </c>
      <c r="K95">
        <v>15</v>
      </c>
      <c r="L95" t="str">
        <f>DiscreteStatsTable[[#This Row],[ProjectName]]&amp;DiscreteStatsTable[[#This Row],[Name]]&amp;DiscreteStatsTable[[#This Row],[Type]]&amp;DiscreteStatsTable[[#This Row],[Source]]</f>
        <v>Unnamed ProjectType1Wait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14.007622289001173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5.5286623892890034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5.5973546894127502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25.950419734396998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41.275755192244297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11.1</v>
      </c>
      <c r="W95">
        <f>IF((DiscreteStatsTable[[#This Row],[RepsRequested]]&gt;1),DiscreteStatsTable[[#This Row],[HalfWidth]],DiscreteStatsTable[[#This Row],[BatchMeansHalfWidth]])</f>
        <v>3.9549668209581639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5</v>
      </c>
      <c r="D96" t="s">
        <v>80</v>
      </c>
      <c r="E96" t="s">
        <v>81</v>
      </c>
      <c r="F96" t="s">
        <v>82</v>
      </c>
      <c r="G96">
        <v>0</v>
      </c>
      <c r="H96">
        <v>2E+20</v>
      </c>
      <c r="I96">
        <v>0</v>
      </c>
      <c r="J96">
        <v>0</v>
      </c>
      <c r="K96">
        <v>9</v>
      </c>
      <c r="L96" t="str">
        <f>DiscreteStatsTable[[#This Row],[ProjectName]]&amp;DiscreteStatsTable[[#This Row],[Name]]&amp;DiscreteStatsTable[[#This Row],[Type]]&amp;DiscreteStatsTable[[#This Row],[Source]]</f>
        <v>Unnamed ProjectType1NVA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11.1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5</v>
      </c>
      <c r="D97" t="s">
        <v>80</v>
      </c>
      <c r="E97" t="s">
        <v>83</v>
      </c>
      <c r="F97" t="s">
        <v>82</v>
      </c>
      <c r="G97">
        <v>0</v>
      </c>
      <c r="H97">
        <v>2E+20</v>
      </c>
      <c r="I97">
        <v>0</v>
      </c>
      <c r="J97">
        <v>0</v>
      </c>
      <c r="K97">
        <v>9</v>
      </c>
      <c r="L97" t="str">
        <f>DiscreteStatsTable[[#This Row],[ProjectName]]&amp;DiscreteStatsTable[[#This Row],[Name]]&amp;DiscreteStatsTable[[#This Row],[Type]]&amp;DiscreteStatsTable[[#This Row],[Source]]</f>
        <v>Unnamed ProjectType1Other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11.1</v>
      </c>
      <c r="W97">
        <f>IF((DiscreteStatsTable[[#This Row],[RepsRequested]]&gt;1),DiscreteStatsTable[[#This Row],[HalfWidth]],DiscreteStatsTable[[#This Row],[BatchMeansHalfWidth]])</f>
        <v>0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5</v>
      </c>
      <c r="D98" t="s">
        <v>80</v>
      </c>
      <c r="E98" t="s">
        <v>84</v>
      </c>
      <c r="F98" t="s">
        <v>82</v>
      </c>
      <c r="G98">
        <v>38.244117897627703</v>
      </c>
      <c r="H98">
        <v>2E+20</v>
      </c>
      <c r="I98">
        <v>31.341604233605501</v>
      </c>
      <c r="J98">
        <v>44.504956337632002</v>
      </c>
      <c r="K98">
        <v>9</v>
      </c>
      <c r="L98" t="str">
        <f>DiscreteStatsTable[[#This Row],[ProjectName]]&amp;DiscreteStatsTable[[#This Row],[Name]]&amp;DiscreteStatsTable[[#This Row],[Type]]&amp;DiscreteStatsTable[[#This Row],[Source]]</f>
        <v>Unnamed ProjectType1Total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46.782687634168497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5.9210287115671854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38.244117897627703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59.445484583842699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26.9877163177472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74.063595201744505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11.1</v>
      </c>
      <c r="W98">
        <f>IF((DiscreteStatsTable[[#This Row],[RepsRequested]]&gt;1),DiscreteStatsTable[[#This Row],[HalfWidth]],DiscreteStatsTable[[#This Row],[BatchMeansHalfWidth]])</f>
        <v>4.2356487792701722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5</v>
      </c>
      <c r="D99" t="s">
        <v>80</v>
      </c>
      <c r="E99" t="s">
        <v>85</v>
      </c>
      <c r="F99" t="s">
        <v>82</v>
      </c>
      <c r="G99">
        <v>9</v>
      </c>
      <c r="H99">
        <v>2E+20</v>
      </c>
      <c r="I99">
        <v>9</v>
      </c>
      <c r="J99">
        <v>9</v>
      </c>
      <c r="K99">
        <v>9</v>
      </c>
      <c r="L99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9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9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9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9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9.0000000000000107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11.1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5</v>
      </c>
      <c r="D100" t="s">
        <v>80</v>
      </c>
      <c r="E100" t="s">
        <v>86</v>
      </c>
      <c r="F100" t="s">
        <v>82</v>
      </c>
      <c r="G100">
        <v>23.6467632082149</v>
      </c>
      <c r="H100">
        <v>2E+20</v>
      </c>
      <c r="I100">
        <v>15.872265803761399</v>
      </c>
      <c r="J100">
        <v>30.782421259372398</v>
      </c>
      <c r="K100">
        <v>9</v>
      </c>
      <c r="L100" t="str">
        <f>DiscreteStatsTable[[#This Row],[ProjectName]]&amp;DiscreteStatsTable[[#This Row],[Name]]&amp;DiscreteStatsTable[[#This Row],[Type]]&amp;DiscreteStatsTable[[#This Row],[Source]]</f>
        <v>Unnamed ProjectType1VA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23.77506534516731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1.0125326462058606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21.581816415042301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25.037450103809601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14.998916247217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33.7961547858594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11.1</v>
      </c>
      <c r="W100">
        <f>IF((DiscreteStatsTable[[#This Row],[RepsRequested]]&gt;1),DiscreteStatsTable[[#This Row],[HalfWidth]],DiscreteStatsTable[[#This Row],[BatchMeansHalfWidth]])</f>
        <v>0.72432222098411403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5</v>
      </c>
      <c r="D101" t="s">
        <v>80</v>
      </c>
      <c r="E101" t="s">
        <v>87</v>
      </c>
      <c r="F101" t="s">
        <v>82</v>
      </c>
      <c r="G101">
        <v>5.5973546894127502</v>
      </c>
      <c r="H101">
        <v>2E+20</v>
      </c>
      <c r="I101">
        <v>0.28768593987598501</v>
      </c>
      <c r="J101">
        <v>12.230051607229701</v>
      </c>
      <c r="K101">
        <v>9</v>
      </c>
      <c r="L101" t="str">
        <f>DiscreteStatsTable[[#This Row],[ProjectName]]&amp;DiscreteStatsTable[[#This Row],[Name]]&amp;DiscreteStatsTable[[#This Row],[Type]]&amp;DiscreteStatsTable[[#This Row],[Source]]</f>
        <v>Unnamed ProjectType1Wait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14.007622289001173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5.5286623892890034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5.5973546894127502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25.950419734396998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41.275755192244297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11.1</v>
      </c>
      <c r="W101">
        <f>IF((DiscreteStatsTable[[#This Row],[RepsRequested]]&gt;1),DiscreteStatsTable[[#This Row],[HalfWidth]],DiscreteStatsTable[[#This Row],[BatchMeansHalfWidth]])</f>
        <v>3.9549668209581639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6</v>
      </c>
      <c r="D102" t="s">
        <v>80</v>
      </c>
      <c r="E102" t="s">
        <v>81</v>
      </c>
      <c r="F102" t="s">
        <v>82</v>
      </c>
      <c r="G102">
        <v>0</v>
      </c>
      <c r="H102">
        <v>2E+20</v>
      </c>
      <c r="I102">
        <v>0</v>
      </c>
      <c r="J102">
        <v>0</v>
      </c>
      <c r="K102">
        <v>10</v>
      </c>
      <c r="L102" t="str">
        <f>DiscreteStatsTable[[#This Row],[ProjectName]]&amp;DiscreteStatsTable[[#This Row],[Name]]&amp;DiscreteStatsTable[[#This Row],[Type]]&amp;DiscreteStatsTable[[#This Row],[Source]]</f>
        <v>Unnamed ProjectType1NVA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11.1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6</v>
      </c>
      <c r="D103" t="s">
        <v>80</v>
      </c>
      <c r="E103" t="s">
        <v>83</v>
      </c>
      <c r="F103" t="s">
        <v>82</v>
      </c>
      <c r="G103">
        <v>0</v>
      </c>
      <c r="H103">
        <v>2E+20</v>
      </c>
      <c r="I103">
        <v>0</v>
      </c>
      <c r="J103">
        <v>0</v>
      </c>
      <c r="K103">
        <v>10</v>
      </c>
      <c r="L103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11.1</v>
      </c>
      <c r="W103">
        <f>IF((DiscreteStatsTable[[#This Row],[RepsRequested]]&gt;1),DiscreteStatsTable[[#This Row],[HalfWidth]],DiscreteStatsTable[[#This Row],[BatchMeansHalfWidth]])</f>
        <v>0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6</v>
      </c>
      <c r="D104" t="s">
        <v>80</v>
      </c>
      <c r="E104" t="s">
        <v>84</v>
      </c>
      <c r="F104" t="s">
        <v>82</v>
      </c>
      <c r="G104">
        <v>51.074746769405202</v>
      </c>
      <c r="H104">
        <v>2E+20</v>
      </c>
      <c r="I104">
        <v>33.515017583489303</v>
      </c>
      <c r="J104">
        <v>59.410250292522797</v>
      </c>
      <c r="K104">
        <v>10</v>
      </c>
      <c r="L104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46.782687634168497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5.9210287115671854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38.244117897627703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59.445484583842699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26.9877163177472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74.063595201744505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11.1</v>
      </c>
      <c r="W104">
        <f>IF((DiscreteStatsTable[[#This Row],[RepsRequested]]&gt;1),DiscreteStatsTable[[#This Row],[HalfWidth]],DiscreteStatsTable[[#This Row],[BatchMeansHalfWidth]])</f>
        <v>4.2356487792701722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6</v>
      </c>
      <c r="D105" t="s">
        <v>80</v>
      </c>
      <c r="E105" t="s">
        <v>85</v>
      </c>
      <c r="F105" t="s">
        <v>82</v>
      </c>
      <c r="G105">
        <v>9</v>
      </c>
      <c r="H105">
        <v>2E+20</v>
      </c>
      <c r="I105">
        <v>9</v>
      </c>
      <c r="J105">
        <v>9</v>
      </c>
      <c r="K105">
        <v>10</v>
      </c>
      <c r="L105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9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9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9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9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9.0000000000000107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11.1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6</v>
      </c>
      <c r="D106" t="s">
        <v>80</v>
      </c>
      <c r="E106" t="s">
        <v>86</v>
      </c>
      <c r="F106" t="s">
        <v>82</v>
      </c>
      <c r="G106">
        <v>24.716015525252502</v>
      </c>
      <c r="H106">
        <v>2E+20</v>
      </c>
      <c r="I106">
        <v>18.212575839770501</v>
      </c>
      <c r="J106">
        <v>30.5290824353415</v>
      </c>
      <c r="K106">
        <v>10</v>
      </c>
      <c r="L106" t="str">
        <f>DiscreteStatsTable[[#This Row],[ProjectName]]&amp;DiscreteStatsTable[[#This Row],[Name]]&amp;DiscreteStatsTable[[#This Row],[Type]]&amp;DiscreteStatsTable[[#This Row],[Source]]</f>
        <v>Unnamed ProjectType1VA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23.77506534516731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1.0125326462058606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21.581816415042301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25.037450103809601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14.998916247217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33.7961547858594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11.1</v>
      </c>
      <c r="W106">
        <f>IF((DiscreteStatsTable[[#This Row],[RepsRequested]]&gt;1),DiscreteStatsTable[[#This Row],[HalfWidth]],DiscreteStatsTable[[#This Row],[BatchMeansHalfWidth]])</f>
        <v>0.72432222098411403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6</v>
      </c>
      <c r="D107" t="s">
        <v>80</v>
      </c>
      <c r="E107" t="s">
        <v>87</v>
      </c>
      <c r="F107" t="s">
        <v>82</v>
      </c>
      <c r="G107">
        <v>17.3587312441527</v>
      </c>
      <c r="H107">
        <v>2E+20</v>
      </c>
      <c r="I107">
        <v>0</v>
      </c>
      <c r="J107">
        <v>27.1955518878775</v>
      </c>
      <c r="K107">
        <v>10</v>
      </c>
      <c r="L107" t="str">
        <f>DiscreteStatsTable[[#This Row],[ProjectName]]&amp;DiscreteStatsTable[[#This Row],[Name]]&amp;DiscreteStatsTable[[#This Row],[Type]]&amp;DiscreteStatsTable[[#This Row],[Source]]</f>
        <v>Unnamed ProjectType1Wait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14.007622289001173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5.5286623892890034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5.5973546894127502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25.950419734396998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41.275755192244297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11.1</v>
      </c>
      <c r="W107">
        <f>IF((DiscreteStatsTable[[#This Row],[RepsRequested]]&gt;1),DiscreteStatsTable[[#This Row],[HalfWidth]],DiscreteStatsTable[[#This Row],[BatchMeansHalfWidth]])</f>
        <v>3.9549668209581639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7</v>
      </c>
      <c r="D108" t="s">
        <v>80</v>
      </c>
      <c r="E108" t="s">
        <v>81</v>
      </c>
      <c r="F108" t="s">
        <v>82</v>
      </c>
      <c r="G108">
        <v>0</v>
      </c>
      <c r="H108">
        <v>2E+20</v>
      </c>
      <c r="I108">
        <v>0</v>
      </c>
      <c r="J108">
        <v>0</v>
      </c>
      <c r="K108">
        <v>10</v>
      </c>
      <c r="L108" t="str">
        <f>DiscreteStatsTable[[#This Row],[ProjectName]]&amp;DiscreteStatsTable[[#This Row],[Name]]&amp;DiscreteStatsTable[[#This Row],[Type]]&amp;DiscreteStatsTable[[#This Row],[Source]]</f>
        <v>Unnamed ProjectType1NVA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11.1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7</v>
      </c>
      <c r="D109" t="s">
        <v>80</v>
      </c>
      <c r="E109" t="s">
        <v>83</v>
      </c>
      <c r="F109" t="s">
        <v>82</v>
      </c>
      <c r="G109">
        <v>0</v>
      </c>
      <c r="H109">
        <v>2E+20</v>
      </c>
      <c r="I109">
        <v>0</v>
      </c>
      <c r="J109">
        <v>0</v>
      </c>
      <c r="K109">
        <v>10</v>
      </c>
      <c r="L109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11.1</v>
      </c>
      <c r="W109">
        <f>IF((DiscreteStatsTable[[#This Row],[RepsRequested]]&gt;1),DiscreteStatsTable[[#This Row],[HalfWidth]],DiscreteStatsTable[[#This Row],[BatchMeansHalfWidth]])</f>
        <v>0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7</v>
      </c>
      <c r="D110" t="s">
        <v>80</v>
      </c>
      <c r="E110" t="s">
        <v>84</v>
      </c>
      <c r="F110" t="s">
        <v>82</v>
      </c>
      <c r="G110">
        <v>45.489478995609403</v>
      </c>
      <c r="H110">
        <v>2E+20</v>
      </c>
      <c r="I110">
        <v>34.685545023253503</v>
      </c>
      <c r="J110">
        <v>70.098334317438997</v>
      </c>
      <c r="K110">
        <v>10</v>
      </c>
      <c r="L110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46.782687634168497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5.9210287115671854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38.244117897627703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59.445484583842699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26.9877163177472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74.063595201744505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11.1</v>
      </c>
      <c r="W110">
        <f>IF((DiscreteStatsTable[[#This Row],[RepsRequested]]&gt;1),DiscreteStatsTable[[#This Row],[HalfWidth]],DiscreteStatsTable[[#This Row],[BatchMeansHalfWidth]])</f>
        <v>4.2356487792701722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7</v>
      </c>
      <c r="D111" t="s">
        <v>80</v>
      </c>
      <c r="E111" t="s">
        <v>85</v>
      </c>
      <c r="F111" t="s">
        <v>82</v>
      </c>
      <c r="G111">
        <v>9</v>
      </c>
      <c r="H111">
        <v>2E+20</v>
      </c>
      <c r="I111">
        <v>9</v>
      </c>
      <c r="J111">
        <v>9</v>
      </c>
      <c r="K111">
        <v>10</v>
      </c>
      <c r="L111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9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9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9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9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9.0000000000000107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11.1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7</v>
      </c>
      <c r="D112" t="s">
        <v>80</v>
      </c>
      <c r="E112" t="s">
        <v>86</v>
      </c>
      <c r="F112" t="s">
        <v>82</v>
      </c>
      <c r="G112">
        <v>25.037450103809601</v>
      </c>
      <c r="H112">
        <v>2E+20</v>
      </c>
      <c r="I112">
        <v>21.0798411530462</v>
      </c>
      <c r="J112">
        <v>30.244043421259398</v>
      </c>
      <c r="K112">
        <v>10</v>
      </c>
      <c r="L112" t="str">
        <f>DiscreteStatsTable[[#This Row],[ProjectName]]&amp;DiscreteStatsTable[[#This Row],[Name]]&amp;DiscreteStatsTable[[#This Row],[Type]]&amp;DiscreteStatsTable[[#This Row],[Source]]</f>
        <v>Unnamed ProjectType1VA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23.77506534516731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1.0125326462058606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21.581816415042301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25.037450103809601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14.998916247217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33.7961547858594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11.1</v>
      </c>
      <c r="W112">
        <f>IF((DiscreteStatsTable[[#This Row],[RepsRequested]]&gt;1),DiscreteStatsTable[[#This Row],[HalfWidth]],DiscreteStatsTable[[#This Row],[BatchMeansHalfWidth]])</f>
        <v>0.72432222098411403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7</v>
      </c>
      <c r="D113" t="s">
        <v>80</v>
      </c>
      <c r="E113" t="s">
        <v>87</v>
      </c>
      <c r="F113" t="s">
        <v>82</v>
      </c>
      <c r="G113">
        <v>11.452028891799801</v>
      </c>
      <c r="H113">
        <v>2E+20</v>
      </c>
      <c r="I113">
        <v>0</v>
      </c>
      <c r="J113">
        <v>30.854290896179599</v>
      </c>
      <c r="K113">
        <v>10</v>
      </c>
      <c r="L113" t="str">
        <f>DiscreteStatsTable[[#This Row],[ProjectName]]&amp;DiscreteStatsTable[[#This Row],[Name]]&amp;DiscreteStatsTable[[#This Row],[Type]]&amp;DiscreteStatsTable[[#This Row],[Source]]</f>
        <v>Unnamed ProjectType1Wait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14.007622289001173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5.5286623892890034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5.5973546894127502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25.950419734396998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41.275755192244297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11.1</v>
      </c>
      <c r="W113">
        <f>IF((DiscreteStatsTable[[#This Row],[RepsRequested]]&gt;1),DiscreteStatsTable[[#This Row],[HalfWidth]],DiscreteStatsTable[[#This Row],[BatchMeansHalfWidth]])</f>
        <v>3.9549668209581639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8</v>
      </c>
      <c r="D114" t="s">
        <v>80</v>
      </c>
      <c r="E114" t="s">
        <v>81</v>
      </c>
      <c r="F114" t="s">
        <v>82</v>
      </c>
      <c r="G114">
        <v>0</v>
      </c>
      <c r="H114">
        <v>2E+20</v>
      </c>
      <c r="I114">
        <v>0</v>
      </c>
      <c r="J114">
        <v>0</v>
      </c>
      <c r="K114">
        <v>8</v>
      </c>
      <c r="L114" t="str">
        <f>DiscreteStatsTable[[#This Row],[ProjectName]]&amp;DiscreteStatsTable[[#This Row],[Name]]&amp;DiscreteStatsTable[[#This Row],[Type]]&amp;DiscreteStatsTable[[#This Row],[Source]]</f>
        <v>Unnamed ProjectType1NVA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11.1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8</v>
      </c>
      <c r="D115" t="s">
        <v>80</v>
      </c>
      <c r="E115" t="s">
        <v>83</v>
      </c>
      <c r="F115" t="s">
        <v>82</v>
      </c>
      <c r="G115">
        <v>0</v>
      </c>
      <c r="H115">
        <v>2E+20</v>
      </c>
      <c r="I115">
        <v>0</v>
      </c>
      <c r="J115">
        <v>0</v>
      </c>
      <c r="K115">
        <v>8</v>
      </c>
      <c r="L115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11.1</v>
      </c>
      <c r="W115">
        <f>IF((DiscreteStatsTable[[#This Row],[RepsRequested]]&gt;1),DiscreteStatsTable[[#This Row],[HalfWidth]],DiscreteStatsTable[[#This Row],[BatchMeansHalfWidth]])</f>
        <v>0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8</v>
      </c>
      <c r="D116" t="s">
        <v>80</v>
      </c>
      <c r="E116" t="s">
        <v>84</v>
      </c>
      <c r="F116" t="s">
        <v>82</v>
      </c>
      <c r="G116">
        <v>42.118362859450997</v>
      </c>
      <c r="H116">
        <v>2E+20</v>
      </c>
      <c r="I116">
        <v>29.837281874740999</v>
      </c>
      <c r="J116">
        <v>54.776396487699898</v>
      </c>
      <c r="K116">
        <v>8</v>
      </c>
      <c r="L116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46.782687634168497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5.9210287115671854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38.244117897627703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59.445484583842699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26.9877163177472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74.063595201744505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11.1</v>
      </c>
      <c r="W116">
        <f>IF((DiscreteStatsTable[[#This Row],[RepsRequested]]&gt;1),DiscreteStatsTable[[#This Row],[HalfWidth]],DiscreteStatsTable[[#This Row],[BatchMeansHalfWidth]])</f>
        <v>4.2356487792701722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8</v>
      </c>
      <c r="D117" t="s">
        <v>80</v>
      </c>
      <c r="E117" t="s">
        <v>85</v>
      </c>
      <c r="F117" t="s">
        <v>82</v>
      </c>
      <c r="G117">
        <v>9</v>
      </c>
      <c r="H117">
        <v>2E+20</v>
      </c>
      <c r="I117">
        <v>9</v>
      </c>
      <c r="J117">
        <v>9</v>
      </c>
      <c r="K117">
        <v>8</v>
      </c>
      <c r="L117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9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9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9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9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9.0000000000000107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11.1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8</v>
      </c>
      <c r="D118" t="s">
        <v>80</v>
      </c>
      <c r="E118" t="s">
        <v>86</v>
      </c>
      <c r="F118" t="s">
        <v>82</v>
      </c>
      <c r="G118">
        <v>23.234498839209099</v>
      </c>
      <c r="H118">
        <v>2E+20</v>
      </c>
      <c r="I118">
        <v>15.4230820302512</v>
      </c>
      <c r="J118">
        <v>33.7961547858594</v>
      </c>
      <c r="K118">
        <v>8</v>
      </c>
      <c r="L118" t="str">
        <f>DiscreteStatsTable[[#This Row],[ProjectName]]&amp;DiscreteStatsTable[[#This Row],[Name]]&amp;DiscreteStatsTable[[#This Row],[Type]]&amp;DiscreteStatsTable[[#This Row],[Source]]</f>
        <v>Unnamed ProjectType1VA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23.77506534516731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1.0125326462058606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21.581816415042301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25.037450103809601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14.998916247217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33.7961547858594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11.1</v>
      </c>
      <c r="W118">
        <f>IF((DiscreteStatsTable[[#This Row],[RepsRequested]]&gt;1),DiscreteStatsTable[[#This Row],[HalfWidth]],DiscreteStatsTable[[#This Row],[BatchMeansHalfWidth]])</f>
        <v>0.72432222098411403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8</v>
      </c>
      <c r="D119" t="s">
        <v>80</v>
      </c>
      <c r="E119" t="s">
        <v>87</v>
      </c>
      <c r="F119" t="s">
        <v>82</v>
      </c>
      <c r="G119">
        <v>9.8838640202419406</v>
      </c>
      <c r="H119">
        <v>2E+20</v>
      </c>
      <c r="I119">
        <v>0</v>
      </c>
      <c r="J119">
        <v>21.828237942161401</v>
      </c>
      <c r="K119">
        <v>8</v>
      </c>
      <c r="L119" t="str">
        <f>DiscreteStatsTable[[#This Row],[ProjectName]]&amp;DiscreteStatsTable[[#This Row],[Name]]&amp;DiscreteStatsTable[[#This Row],[Type]]&amp;DiscreteStatsTable[[#This Row],[Source]]</f>
        <v>Unnamed ProjectType1Wait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14.007622289001173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5.5286623892890034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5.5973546894127502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25.950419734396998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41.275755192244297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11.1</v>
      </c>
      <c r="W119">
        <f>IF((DiscreteStatsTable[[#This Row],[RepsRequested]]&gt;1),DiscreteStatsTable[[#This Row],[HalfWidth]],DiscreteStatsTable[[#This Row],[BatchMeansHalfWidth]])</f>
        <v>3.9549668209581639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9</v>
      </c>
      <c r="D120" t="s">
        <v>80</v>
      </c>
      <c r="E120" t="s">
        <v>81</v>
      </c>
      <c r="F120" t="s">
        <v>82</v>
      </c>
      <c r="G120">
        <v>0</v>
      </c>
      <c r="H120">
        <v>2E+20</v>
      </c>
      <c r="I120">
        <v>0</v>
      </c>
      <c r="J120">
        <v>0</v>
      </c>
      <c r="K120">
        <v>12</v>
      </c>
      <c r="L120" t="str">
        <f>DiscreteStatsTable[[#This Row],[ProjectName]]&amp;DiscreteStatsTable[[#This Row],[Name]]&amp;DiscreteStatsTable[[#This Row],[Type]]&amp;DiscreteStatsTable[[#This Row],[Source]]</f>
        <v>Unnamed ProjectType1NVA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11.1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9</v>
      </c>
      <c r="D121" t="s">
        <v>80</v>
      </c>
      <c r="E121" t="s">
        <v>83</v>
      </c>
      <c r="F121" t="s">
        <v>82</v>
      </c>
      <c r="G121">
        <v>0</v>
      </c>
      <c r="H121">
        <v>2E+20</v>
      </c>
      <c r="I121">
        <v>0</v>
      </c>
      <c r="J121">
        <v>0</v>
      </c>
      <c r="K121">
        <v>12</v>
      </c>
      <c r="L121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11.1</v>
      </c>
      <c r="W121">
        <f>IF((DiscreteStatsTable[[#This Row],[RepsRequested]]&gt;1),DiscreteStatsTable[[#This Row],[HalfWidth]],DiscreteStatsTable[[#This Row],[BatchMeansHalfWidth]])</f>
        <v>0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9</v>
      </c>
      <c r="D122" t="s">
        <v>80</v>
      </c>
      <c r="E122" t="s">
        <v>84</v>
      </c>
      <c r="F122" t="s">
        <v>82</v>
      </c>
      <c r="G122">
        <v>44.838596656828997</v>
      </c>
      <c r="H122">
        <v>2E+20</v>
      </c>
      <c r="I122">
        <v>32.211038356029697</v>
      </c>
      <c r="J122">
        <v>55.064584049631399</v>
      </c>
      <c r="K122">
        <v>12</v>
      </c>
      <c r="L122" s="5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46.782687634168497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5.9210287115671854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38.244117897627703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59.445484583842699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26.9877163177472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74.063595201744505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11.1</v>
      </c>
      <c r="W122" s="5">
        <f>IF((DiscreteStatsTable[[#This Row],[RepsRequested]]&gt;1),DiscreteStatsTable[[#This Row],[HalfWidth]],DiscreteStatsTable[[#This Row],[BatchMeansHalfWidth]])</f>
        <v>4.2356487792701722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9</v>
      </c>
      <c r="D123" t="s">
        <v>80</v>
      </c>
      <c r="E123" t="s">
        <v>85</v>
      </c>
      <c r="F123" t="s">
        <v>82</v>
      </c>
      <c r="G123">
        <v>9</v>
      </c>
      <c r="H123">
        <v>2E+20</v>
      </c>
      <c r="I123">
        <v>9</v>
      </c>
      <c r="J123">
        <v>9</v>
      </c>
      <c r="K123">
        <v>12</v>
      </c>
      <c r="L123" s="5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9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9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9.0000000000000107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11.1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9</v>
      </c>
      <c r="D124" t="s">
        <v>80</v>
      </c>
      <c r="E124" t="s">
        <v>86</v>
      </c>
      <c r="F124" t="s">
        <v>82</v>
      </c>
      <c r="G124">
        <v>21.581816415042301</v>
      </c>
      <c r="H124">
        <v>2E+20</v>
      </c>
      <c r="I124">
        <v>14.998916247217</v>
      </c>
      <c r="J124">
        <v>27.8525645689041</v>
      </c>
      <c r="K124">
        <v>12</v>
      </c>
      <c r="L124" s="5" t="str">
        <f>DiscreteStatsTable[[#This Row],[ProjectName]]&amp;DiscreteStatsTable[[#This Row],[Name]]&amp;DiscreteStatsTable[[#This Row],[Type]]&amp;DiscreteStatsTable[[#This Row],[Source]]</f>
        <v>Unnamed ProjectType1VA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23.77506534516731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1.0125326462058606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21.581816415042301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25.037450103809601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14.998916247217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33.7961547858594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11.1</v>
      </c>
      <c r="W124" s="5">
        <f>IF((DiscreteStatsTable[[#This Row],[RepsRequested]]&gt;1),DiscreteStatsTable[[#This Row],[HalfWidth]],DiscreteStatsTable[[#This Row],[BatchMeansHalfWidth]])</f>
        <v>0.72432222098411403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9</v>
      </c>
      <c r="D125" t="s">
        <v>80</v>
      </c>
      <c r="E125" t="s">
        <v>87</v>
      </c>
      <c r="F125" t="s">
        <v>82</v>
      </c>
      <c r="G125">
        <v>14.256780241786601</v>
      </c>
      <c r="H125">
        <v>2E+20</v>
      </c>
      <c r="I125">
        <v>3.6069530258207698</v>
      </c>
      <c r="J125">
        <v>24.1598505665979</v>
      </c>
      <c r="K125">
        <v>12</v>
      </c>
      <c r="L125" s="5" t="str">
        <f>DiscreteStatsTable[[#This Row],[ProjectName]]&amp;DiscreteStatsTable[[#This Row],[Name]]&amp;DiscreteStatsTable[[#This Row],[Type]]&amp;DiscreteStatsTable[[#This Row],[Source]]</f>
        <v>Unnamed ProjectType1Wait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14.007622289001173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5.5286623892890034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5.5973546894127502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25.950419734396998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41.275755192244297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11.1</v>
      </c>
      <c r="W125" s="5">
        <f>IF((DiscreteStatsTable[[#This Row],[RepsRequested]]&gt;1),DiscreteStatsTable[[#This Row],[HalfWidth]],DiscreteStatsTable[[#This Row],[BatchMeansHalfWidth]])</f>
        <v>3.9549668209581639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10</v>
      </c>
      <c r="D126" t="s">
        <v>80</v>
      </c>
      <c r="E126" t="s">
        <v>81</v>
      </c>
      <c r="F126" t="s">
        <v>82</v>
      </c>
      <c r="G126">
        <v>0</v>
      </c>
      <c r="H126">
        <v>2E+20</v>
      </c>
      <c r="I126">
        <v>0</v>
      </c>
      <c r="J126">
        <v>0</v>
      </c>
      <c r="K126">
        <v>16</v>
      </c>
      <c r="L126" s="5" t="str">
        <f>DiscreteStatsTable[[#This Row],[ProjectName]]&amp;DiscreteStatsTable[[#This Row],[Name]]&amp;DiscreteStatsTable[[#This Row],[Type]]&amp;DiscreteStatsTable[[#This Row],[Source]]</f>
        <v>Unnamed ProjectType1NVA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11.1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10</v>
      </c>
      <c r="D127" t="s">
        <v>80</v>
      </c>
      <c r="E127" t="s">
        <v>83</v>
      </c>
      <c r="F127" t="s">
        <v>82</v>
      </c>
      <c r="G127">
        <v>0</v>
      </c>
      <c r="H127">
        <v>2E+20</v>
      </c>
      <c r="I127">
        <v>0</v>
      </c>
      <c r="J127">
        <v>0</v>
      </c>
      <c r="K127">
        <v>16</v>
      </c>
      <c r="L127" s="5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11.1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10</v>
      </c>
      <c r="D128" t="s">
        <v>80</v>
      </c>
      <c r="E128" t="s">
        <v>84</v>
      </c>
      <c r="F128" t="s">
        <v>82</v>
      </c>
      <c r="G128">
        <v>59.445484583842699</v>
      </c>
      <c r="H128">
        <v>2E+20</v>
      </c>
      <c r="I128">
        <v>35.6132514460595</v>
      </c>
      <c r="J128">
        <v>74.063595201744505</v>
      </c>
      <c r="K128">
        <v>16</v>
      </c>
      <c r="L128" s="5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46.782687634168497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5.9210287115671854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4.2356487792701722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38.244117897627703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59.445484583842699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26.9877163177472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74.063595201744505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11.1</v>
      </c>
      <c r="W128" s="5">
        <f>IF((DiscreteStatsTable[[#This Row],[RepsRequested]]&gt;1),DiscreteStatsTable[[#This Row],[HalfWidth]],DiscreteStatsTable[[#This Row],[BatchMeansHalfWidth]])</f>
        <v>4.2356487792701722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10</v>
      </c>
      <c r="D129" t="s">
        <v>80</v>
      </c>
      <c r="E129" t="s">
        <v>85</v>
      </c>
      <c r="F129" t="s">
        <v>82</v>
      </c>
      <c r="G129">
        <v>9</v>
      </c>
      <c r="H129">
        <v>2E+20</v>
      </c>
      <c r="I129">
        <v>9</v>
      </c>
      <c r="J129">
        <v>9</v>
      </c>
      <c r="K129">
        <v>16</v>
      </c>
      <c r="L129" s="5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9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9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9.0000000000000107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11.1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10</v>
      </c>
      <c r="D130" t="s">
        <v>80</v>
      </c>
      <c r="E130" t="s">
        <v>86</v>
      </c>
      <c r="F130" t="s">
        <v>82</v>
      </c>
      <c r="G130">
        <v>24.495064849445701</v>
      </c>
      <c r="H130">
        <v>2E+20</v>
      </c>
      <c r="I130">
        <v>18.3538918465592</v>
      </c>
      <c r="J130">
        <v>30.297755268353001</v>
      </c>
      <c r="K130">
        <v>16</v>
      </c>
      <c r="L130" s="5" t="str">
        <f>DiscreteStatsTable[[#This Row],[ProjectName]]&amp;DiscreteStatsTable[[#This Row],[Name]]&amp;DiscreteStatsTable[[#This Row],[Type]]&amp;DiscreteStatsTable[[#This Row],[Source]]</f>
        <v>Unnamed ProjectType1VA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23.77506534516731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1.0125326462058606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0.72432222098411403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21.581816415042301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25.037450103809601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14.998916247217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33.7961547858594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11.1</v>
      </c>
      <c r="W130" s="5">
        <f>IF((DiscreteStatsTable[[#This Row],[RepsRequested]]&gt;1),DiscreteStatsTable[[#This Row],[HalfWidth]],DiscreteStatsTable[[#This Row],[BatchMeansHalfWidth]])</f>
        <v>0.72432222098411403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10</v>
      </c>
      <c r="D131" t="s">
        <v>80</v>
      </c>
      <c r="E131" t="s">
        <v>87</v>
      </c>
      <c r="F131" t="s">
        <v>82</v>
      </c>
      <c r="G131">
        <v>25.950419734396998</v>
      </c>
      <c r="H131">
        <v>2E+20</v>
      </c>
      <c r="I131">
        <v>3.49120612054173</v>
      </c>
      <c r="J131">
        <v>41.275755192244297</v>
      </c>
      <c r="K131">
        <v>16</v>
      </c>
      <c r="L131" s="5" t="str">
        <f>DiscreteStatsTable[[#This Row],[ProjectName]]&amp;DiscreteStatsTable[[#This Row],[Name]]&amp;DiscreteStatsTable[[#This Row],[Type]]&amp;DiscreteStatsTable[[#This Row],[Source]]</f>
        <v>Unnamed ProjectType1Wait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14.007622289001173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5.5286623892890034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3.9549668209581639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5.5973546894127502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25.950419734396998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41.275755192244297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11.1</v>
      </c>
      <c r="W131" s="5">
        <f>IF((DiscreteStatsTable[[#This Row],[RepsRequested]]&gt;1),DiscreteStatsTable[[#This Row],[HalfWidth]],DiscreteStatsTable[[#This Row],[BatchMeansHalfWidth]])</f>
        <v>3.9549668209581639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1</v>
      </c>
      <c r="D132" t="s">
        <v>88</v>
      </c>
      <c r="E132" t="s">
        <v>81</v>
      </c>
      <c r="F132" t="s">
        <v>82</v>
      </c>
      <c r="G132">
        <v>0</v>
      </c>
      <c r="H132">
        <v>2E+20</v>
      </c>
      <c r="I132">
        <v>0</v>
      </c>
      <c r="J132">
        <v>0</v>
      </c>
      <c r="K132">
        <v>12</v>
      </c>
      <c r="L132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9.1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1</v>
      </c>
      <c r="D133" t="s">
        <v>88</v>
      </c>
      <c r="E133" t="s">
        <v>83</v>
      </c>
      <c r="F133" t="s">
        <v>82</v>
      </c>
      <c r="G133">
        <v>0</v>
      </c>
      <c r="H133">
        <v>2E+20</v>
      </c>
      <c r="I133">
        <v>0</v>
      </c>
      <c r="J133">
        <v>0</v>
      </c>
      <c r="K133">
        <v>12</v>
      </c>
      <c r="L133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9.1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1</v>
      </c>
      <c r="D134" t="s">
        <v>88</v>
      </c>
      <c r="E134" t="s">
        <v>84</v>
      </c>
      <c r="F134" t="s">
        <v>82</v>
      </c>
      <c r="G134">
        <v>76.946426748085798</v>
      </c>
      <c r="H134">
        <v>2E+20</v>
      </c>
      <c r="I134">
        <v>48.615309865854599</v>
      </c>
      <c r="J134">
        <v>119.281368492802</v>
      </c>
      <c r="K134">
        <v>12</v>
      </c>
      <c r="L134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70.135489387108677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4.8457218697418316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60.103381078758702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76.946426748085798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43.060314991725399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119.281368492802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9.1</v>
      </c>
      <c r="W134" s="5">
        <f>IF((DiscreteStatsTable[[#This Row],[RepsRequested]]&gt;1),DiscreteStatsTable[[#This Row],[HalfWidth]],DiscreteStatsTable[[#This Row],[BatchMeansHalfWidth]])</f>
        <v>3.4664206039329009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1</v>
      </c>
      <c r="D135" t="s">
        <v>88</v>
      </c>
      <c r="E135" t="s">
        <v>85</v>
      </c>
      <c r="F135" t="s">
        <v>82</v>
      </c>
      <c r="G135">
        <v>12</v>
      </c>
      <c r="H135">
        <v>2E+20</v>
      </c>
      <c r="I135">
        <v>12</v>
      </c>
      <c r="J135">
        <v>12</v>
      </c>
      <c r="K135">
        <v>12</v>
      </c>
      <c r="L135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12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12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12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12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12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9.1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1</v>
      </c>
      <c r="D136" t="s">
        <v>88</v>
      </c>
      <c r="E136" t="s">
        <v>86</v>
      </c>
      <c r="F136" t="s">
        <v>82</v>
      </c>
      <c r="G136">
        <v>38.070291504247201</v>
      </c>
      <c r="H136">
        <v>2E+20</v>
      </c>
      <c r="I136">
        <v>30.4599224050672</v>
      </c>
      <c r="J136">
        <v>52.547838842594999</v>
      </c>
      <c r="K136">
        <v>12</v>
      </c>
      <c r="L136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36.534296536270553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1.2403095677603713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34.454913680466298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38.070291504247201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25.3401743969536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52.547838842594999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9.1</v>
      </c>
      <c r="W136" s="5">
        <f>IF((DiscreteStatsTable[[#This Row],[RepsRequested]]&gt;1),DiscreteStatsTable[[#This Row],[HalfWidth]],DiscreteStatsTable[[#This Row],[BatchMeansHalfWidth]])</f>
        <v>0.88726401483887163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1</v>
      </c>
      <c r="D137" t="s">
        <v>88</v>
      </c>
      <c r="E137" t="s">
        <v>87</v>
      </c>
      <c r="F137" t="s">
        <v>82</v>
      </c>
      <c r="G137">
        <v>26.8761352438387</v>
      </c>
      <c r="H137">
        <v>2E+20</v>
      </c>
      <c r="I137">
        <v>4.31679945231713</v>
      </c>
      <c r="J137">
        <v>63.802690485096399</v>
      </c>
      <c r="K137">
        <v>12</v>
      </c>
      <c r="L137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21.601192850838142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4.1474098022359787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13.6484673982924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27.655774910025599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68.091856714806795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9.1</v>
      </c>
      <c r="W137" s="5">
        <f>IF((DiscreteStatsTable[[#This Row],[RepsRequested]]&gt;1),DiscreteStatsTable[[#This Row],[HalfWidth]],DiscreteStatsTable[[#This Row],[BatchMeansHalfWidth]])</f>
        <v>2.9668782439199362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</v>
      </c>
      <c r="D138" t="s">
        <v>88</v>
      </c>
      <c r="E138" t="s">
        <v>81</v>
      </c>
      <c r="F138" t="s">
        <v>82</v>
      </c>
      <c r="G138">
        <v>0</v>
      </c>
      <c r="H138">
        <v>2E+20</v>
      </c>
      <c r="I138">
        <v>0</v>
      </c>
      <c r="J138">
        <v>0</v>
      </c>
      <c r="K138">
        <v>10</v>
      </c>
      <c r="L138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9.1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</v>
      </c>
      <c r="D139" t="s">
        <v>88</v>
      </c>
      <c r="E139" t="s">
        <v>83</v>
      </c>
      <c r="F139" t="s">
        <v>82</v>
      </c>
      <c r="G139">
        <v>0</v>
      </c>
      <c r="H139">
        <v>2E+20</v>
      </c>
      <c r="I139">
        <v>0</v>
      </c>
      <c r="J139">
        <v>0</v>
      </c>
      <c r="K139">
        <v>10</v>
      </c>
      <c r="L139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9.1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</v>
      </c>
      <c r="D140" t="s">
        <v>88</v>
      </c>
      <c r="E140" t="s">
        <v>84</v>
      </c>
      <c r="F140" t="s">
        <v>82</v>
      </c>
      <c r="G140">
        <v>66.418115407512602</v>
      </c>
      <c r="H140">
        <v>2E+20</v>
      </c>
      <c r="I140">
        <v>48.318678842822301</v>
      </c>
      <c r="J140">
        <v>118.601855556597</v>
      </c>
      <c r="K140">
        <v>10</v>
      </c>
      <c r="L140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70.135489387108677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4.8457218697418316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60.103381078758702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76.946426748085798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43.060314991725399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119.281368492802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9.1</v>
      </c>
      <c r="W140" s="5">
        <f>IF((DiscreteStatsTable[[#This Row],[RepsRequested]]&gt;1),DiscreteStatsTable[[#This Row],[HalfWidth]],DiscreteStatsTable[[#This Row],[BatchMeansHalfWidth]])</f>
        <v>3.4664206039329009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</v>
      </c>
      <c r="D141" t="s">
        <v>88</v>
      </c>
      <c r="E141" t="s">
        <v>85</v>
      </c>
      <c r="F141" t="s">
        <v>82</v>
      </c>
      <c r="G141">
        <v>12</v>
      </c>
      <c r="H141">
        <v>2E+20</v>
      </c>
      <c r="I141">
        <v>12</v>
      </c>
      <c r="J141">
        <v>12</v>
      </c>
      <c r="K141">
        <v>10</v>
      </c>
      <c r="L141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12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12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12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12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12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9.1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</v>
      </c>
      <c r="D142" t="s">
        <v>88</v>
      </c>
      <c r="E142" t="s">
        <v>86</v>
      </c>
      <c r="F142" t="s">
        <v>82</v>
      </c>
      <c r="G142">
        <v>35.500096543718499</v>
      </c>
      <c r="H142">
        <v>2E+20</v>
      </c>
      <c r="I142">
        <v>25.3401743969536</v>
      </c>
      <c r="J142">
        <v>41.403884363715001</v>
      </c>
      <c r="K142">
        <v>10</v>
      </c>
      <c r="L142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36.534296536270553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1.2403095677603713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34.454913680466298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38.070291504247201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25.3401743969536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52.547838842594999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9.1</v>
      </c>
      <c r="W142" s="5">
        <f>IF((DiscreteStatsTable[[#This Row],[RepsRequested]]&gt;1),DiscreteStatsTable[[#This Row],[HalfWidth]],DiscreteStatsTable[[#This Row],[BatchMeansHalfWidth]])</f>
        <v>0.88726401483887163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</v>
      </c>
      <c r="D143" t="s">
        <v>88</v>
      </c>
      <c r="E143" t="s">
        <v>87</v>
      </c>
      <c r="F143" t="s">
        <v>82</v>
      </c>
      <c r="G143">
        <v>18.918018863794199</v>
      </c>
      <c r="H143">
        <v>2E+20</v>
      </c>
      <c r="I143">
        <v>0</v>
      </c>
      <c r="J143">
        <v>68.091856714806795</v>
      </c>
      <c r="K143">
        <v>10</v>
      </c>
      <c r="L143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21.601192850838142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4.1474098022359787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13.6484673982924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27.655774910025599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68.091856714806795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9.1</v>
      </c>
      <c r="W143" s="5">
        <f>IF((DiscreteStatsTable[[#This Row],[RepsRequested]]&gt;1),DiscreteStatsTable[[#This Row],[HalfWidth]],DiscreteStatsTable[[#This Row],[BatchMeansHalfWidth]])</f>
        <v>2.9668782439199362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3</v>
      </c>
      <c r="D144" t="s">
        <v>88</v>
      </c>
      <c r="E144" t="s">
        <v>81</v>
      </c>
      <c r="F144" t="s">
        <v>82</v>
      </c>
      <c r="G144">
        <v>0</v>
      </c>
      <c r="H144">
        <v>2E+20</v>
      </c>
      <c r="I144">
        <v>0</v>
      </c>
      <c r="J144">
        <v>0</v>
      </c>
      <c r="K144">
        <v>8</v>
      </c>
      <c r="L144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9.1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3</v>
      </c>
      <c r="D145" t="s">
        <v>88</v>
      </c>
      <c r="E145" t="s">
        <v>83</v>
      </c>
      <c r="F145" t="s">
        <v>82</v>
      </c>
      <c r="G145">
        <v>0</v>
      </c>
      <c r="H145">
        <v>2E+20</v>
      </c>
      <c r="I145">
        <v>0</v>
      </c>
      <c r="J145">
        <v>0</v>
      </c>
      <c r="K145">
        <v>8</v>
      </c>
      <c r="L145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9.1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3</v>
      </c>
      <c r="D146" t="s">
        <v>88</v>
      </c>
      <c r="E146" t="s">
        <v>84</v>
      </c>
      <c r="F146" t="s">
        <v>82</v>
      </c>
      <c r="G146">
        <v>68.178236151727006</v>
      </c>
      <c r="H146">
        <v>2E+20</v>
      </c>
      <c r="I146">
        <v>51.366144228876998</v>
      </c>
      <c r="J146">
        <v>99.724937227057197</v>
      </c>
      <c r="K146">
        <v>8</v>
      </c>
      <c r="L146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70.135489387108677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4.8457218697418316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60.103381078758702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76.946426748085798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43.060314991725399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119.281368492802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9.1</v>
      </c>
      <c r="W146" s="5">
        <f>IF((DiscreteStatsTable[[#This Row],[RepsRequested]]&gt;1),DiscreteStatsTable[[#This Row],[HalfWidth]],DiscreteStatsTable[[#This Row],[BatchMeansHalfWidth]])</f>
        <v>3.4664206039329009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3</v>
      </c>
      <c r="D147" t="s">
        <v>88</v>
      </c>
      <c r="E147" t="s">
        <v>85</v>
      </c>
      <c r="F147" t="s">
        <v>82</v>
      </c>
      <c r="G147">
        <v>12</v>
      </c>
      <c r="H147">
        <v>2E+20</v>
      </c>
      <c r="I147">
        <v>12</v>
      </c>
      <c r="J147">
        <v>12</v>
      </c>
      <c r="K147">
        <v>8</v>
      </c>
      <c r="L147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12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12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12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12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12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9.1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3</v>
      </c>
      <c r="D148" t="s">
        <v>88</v>
      </c>
      <c r="E148" t="s">
        <v>86</v>
      </c>
      <c r="F148" t="s">
        <v>82</v>
      </c>
      <c r="G148">
        <v>36.620500460430399</v>
      </c>
      <c r="H148">
        <v>2E+20</v>
      </c>
      <c r="I148">
        <v>31.293108723009901</v>
      </c>
      <c r="J148">
        <v>42.894467208623503</v>
      </c>
      <c r="K148">
        <v>8</v>
      </c>
      <c r="L148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36.534296536270553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1.2403095677603713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34.454913680466298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38.070291504247201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25.3401743969536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52.547838842594999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9.1</v>
      </c>
      <c r="W148" s="5">
        <f>IF((DiscreteStatsTable[[#This Row],[RepsRequested]]&gt;1),DiscreteStatsTable[[#This Row],[HalfWidth]],DiscreteStatsTable[[#This Row],[BatchMeansHalfWidth]])</f>
        <v>0.88726401483887163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3</v>
      </c>
      <c r="D149" t="s">
        <v>88</v>
      </c>
      <c r="E149" t="s">
        <v>87</v>
      </c>
      <c r="F149" t="s">
        <v>82</v>
      </c>
      <c r="G149">
        <v>19.5577356912966</v>
      </c>
      <c r="H149">
        <v>2E+20</v>
      </c>
      <c r="I149">
        <v>1.9070879231690601</v>
      </c>
      <c r="J149">
        <v>44.830470018433701</v>
      </c>
      <c r="K149">
        <v>8</v>
      </c>
      <c r="L149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21.601192850838142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4.1474098022359787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13.6484673982924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27.655774910025599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68.091856714806795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9.1</v>
      </c>
      <c r="W149" s="5">
        <f>IF((DiscreteStatsTable[[#This Row],[RepsRequested]]&gt;1),DiscreteStatsTable[[#This Row],[HalfWidth]],DiscreteStatsTable[[#This Row],[BatchMeansHalfWidth]])</f>
        <v>2.9668782439199362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4</v>
      </c>
      <c r="D150" t="s">
        <v>88</v>
      </c>
      <c r="E150" t="s">
        <v>81</v>
      </c>
      <c r="F150" t="s">
        <v>82</v>
      </c>
      <c r="G150">
        <v>0</v>
      </c>
      <c r="H150">
        <v>2E+20</v>
      </c>
      <c r="I150">
        <v>0</v>
      </c>
      <c r="J150">
        <v>0</v>
      </c>
      <c r="K150">
        <v>7</v>
      </c>
      <c r="L150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9.1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4</v>
      </c>
      <c r="D151" t="s">
        <v>88</v>
      </c>
      <c r="E151" t="s">
        <v>83</v>
      </c>
      <c r="F151" t="s">
        <v>82</v>
      </c>
      <c r="G151">
        <v>0</v>
      </c>
      <c r="H151">
        <v>2E+20</v>
      </c>
      <c r="I151">
        <v>0</v>
      </c>
      <c r="J151">
        <v>0</v>
      </c>
      <c r="K151">
        <v>7</v>
      </c>
      <c r="L151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9.1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4</v>
      </c>
      <c r="D152" t="s">
        <v>88</v>
      </c>
      <c r="E152" t="s">
        <v>84</v>
      </c>
      <c r="F152" t="s">
        <v>82</v>
      </c>
      <c r="G152">
        <v>69.602482889069094</v>
      </c>
      <c r="H152">
        <v>2E+20</v>
      </c>
      <c r="I152">
        <v>50.227802241007097</v>
      </c>
      <c r="J152">
        <v>97.475723166312406</v>
      </c>
      <c r="K152">
        <v>7</v>
      </c>
      <c r="L152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70.135489387108677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4.8457218697418316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60.103381078758702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76.946426748085798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43.060314991725399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119.281368492802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9.1</v>
      </c>
      <c r="W152" s="5">
        <f>IF((DiscreteStatsTable[[#This Row],[RepsRequested]]&gt;1),DiscreteStatsTable[[#This Row],[HalfWidth]],DiscreteStatsTable[[#This Row],[BatchMeansHalfWidth]])</f>
        <v>3.4664206039329009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4</v>
      </c>
      <c r="D153" t="s">
        <v>88</v>
      </c>
      <c r="E153" t="s">
        <v>85</v>
      </c>
      <c r="F153" t="s">
        <v>82</v>
      </c>
      <c r="G153">
        <v>12</v>
      </c>
      <c r="H153">
        <v>2E+20</v>
      </c>
      <c r="I153">
        <v>12</v>
      </c>
      <c r="J153">
        <v>12</v>
      </c>
      <c r="K153">
        <v>7</v>
      </c>
      <c r="L153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12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12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12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12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12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9.1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4</v>
      </c>
      <c r="D154" t="s">
        <v>88</v>
      </c>
      <c r="E154" t="s">
        <v>86</v>
      </c>
      <c r="F154" t="s">
        <v>82</v>
      </c>
      <c r="G154">
        <v>37.610337529632403</v>
      </c>
      <c r="H154">
        <v>2E+20</v>
      </c>
      <c r="I154">
        <v>26.0337671107423</v>
      </c>
      <c r="J154">
        <v>46.324822362098999</v>
      </c>
      <c r="K154">
        <v>7</v>
      </c>
      <c r="L154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36.534296536270553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1.2403095677603713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34.454913680466298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38.070291504247201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25.3401743969536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52.547838842594999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9.1</v>
      </c>
      <c r="W154" s="5">
        <f>IF((DiscreteStatsTable[[#This Row],[RepsRequested]]&gt;1),DiscreteStatsTable[[#This Row],[HalfWidth]],DiscreteStatsTable[[#This Row],[BatchMeansHalfWidth]])</f>
        <v>0.88726401483887163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4</v>
      </c>
      <c r="D155" t="s">
        <v>88</v>
      </c>
      <c r="E155" t="s">
        <v>87</v>
      </c>
      <c r="F155" t="s">
        <v>82</v>
      </c>
      <c r="G155">
        <v>19.992145359436702</v>
      </c>
      <c r="H155">
        <v>2E+20</v>
      </c>
      <c r="I155">
        <v>0</v>
      </c>
      <c r="J155">
        <v>47.636752960365797</v>
      </c>
      <c r="K155">
        <v>7</v>
      </c>
      <c r="L155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21.601192850838142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4.1474098022359787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13.6484673982924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27.655774910025599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68.091856714806795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9.1</v>
      </c>
      <c r="W155" s="5">
        <f>IF((DiscreteStatsTable[[#This Row],[RepsRequested]]&gt;1),DiscreteStatsTable[[#This Row],[HalfWidth]],DiscreteStatsTable[[#This Row],[BatchMeansHalfWidth]])</f>
        <v>2.9668782439199362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5</v>
      </c>
      <c r="D156" t="s">
        <v>88</v>
      </c>
      <c r="E156" t="s">
        <v>81</v>
      </c>
      <c r="F156" t="s">
        <v>82</v>
      </c>
      <c r="G156">
        <v>0</v>
      </c>
      <c r="H156">
        <v>2E+20</v>
      </c>
      <c r="I156">
        <v>0</v>
      </c>
      <c r="J156">
        <v>0</v>
      </c>
      <c r="K156">
        <v>9</v>
      </c>
      <c r="L156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9.1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5</v>
      </c>
      <c r="D157" t="s">
        <v>88</v>
      </c>
      <c r="E157" t="s">
        <v>83</v>
      </c>
      <c r="F157" t="s">
        <v>82</v>
      </c>
      <c r="G157">
        <v>0</v>
      </c>
      <c r="H157">
        <v>2E+20</v>
      </c>
      <c r="I157">
        <v>0</v>
      </c>
      <c r="J157">
        <v>0</v>
      </c>
      <c r="K157">
        <v>9</v>
      </c>
      <c r="L157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9.1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5</v>
      </c>
      <c r="D158" t="s">
        <v>88</v>
      </c>
      <c r="E158" t="s">
        <v>84</v>
      </c>
      <c r="F158" t="s">
        <v>82</v>
      </c>
      <c r="G158">
        <v>60.103381078758702</v>
      </c>
      <c r="H158">
        <v>2E+20</v>
      </c>
      <c r="I158">
        <v>43.060314991725399</v>
      </c>
      <c r="J158">
        <v>79.353422663196596</v>
      </c>
      <c r="K158">
        <v>9</v>
      </c>
      <c r="L158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70.135489387108677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4.8457218697418316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60.103381078758702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76.946426748085798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43.060314991725399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119.281368492802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9.1</v>
      </c>
      <c r="W158" s="5">
        <f>IF((DiscreteStatsTable[[#This Row],[RepsRequested]]&gt;1),DiscreteStatsTable[[#This Row],[HalfWidth]],DiscreteStatsTable[[#This Row],[BatchMeansHalfWidth]])</f>
        <v>3.4664206039329009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5</v>
      </c>
      <c r="D159" t="s">
        <v>88</v>
      </c>
      <c r="E159" t="s">
        <v>85</v>
      </c>
      <c r="F159" t="s">
        <v>82</v>
      </c>
      <c r="G159">
        <v>12</v>
      </c>
      <c r="H159">
        <v>2E+20</v>
      </c>
      <c r="I159">
        <v>12</v>
      </c>
      <c r="J159">
        <v>12</v>
      </c>
      <c r="K159">
        <v>9</v>
      </c>
      <c r="L159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12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12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12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12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12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9.1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5</v>
      </c>
      <c r="D160" t="s">
        <v>88</v>
      </c>
      <c r="E160" t="s">
        <v>86</v>
      </c>
      <c r="F160" t="s">
        <v>82</v>
      </c>
      <c r="G160">
        <v>34.454913680466298</v>
      </c>
      <c r="H160">
        <v>2E+20</v>
      </c>
      <c r="I160">
        <v>29.906918452001001</v>
      </c>
      <c r="J160">
        <v>41.7751245197787</v>
      </c>
      <c r="K160">
        <v>9</v>
      </c>
      <c r="L160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36.534296536270553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1.2403095677603713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34.454913680466298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38.070291504247201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25.3401743969536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52.547838842594999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9.1</v>
      </c>
      <c r="W160" s="5">
        <f>IF((DiscreteStatsTable[[#This Row],[RepsRequested]]&gt;1),DiscreteStatsTable[[#This Row],[HalfWidth]],DiscreteStatsTable[[#This Row],[BatchMeansHalfWidth]])</f>
        <v>0.88726401483887163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5</v>
      </c>
      <c r="D161" t="s">
        <v>88</v>
      </c>
      <c r="E161" t="s">
        <v>87</v>
      </c>
      <c r="F161" t="s">
        <v>82</v>
      </c>
      <c r="G161">
        <v>13.6484673982924</v>
      </c>
      <c r="H161">
        <v>2E+20</v>
      </c>
      <c r="I161">
        <v>0</v>
      </c>
      <c r="J161">
        <v>27.072147600277798</v>
      </c>
      <c r="K161">
        <v>9</v>
      </c>
      <c r="L161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21.601192850838142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4.1474098022359787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13.6484673982924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27.655774910025599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68.091856714806795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9.1</v>
      </c>
      <c r="W161" s="5">
        <f>IF((DiscreteStatsTable[[#This Row],[RepsRequested]]&gt;1),DiscreteStatsTable[[#This Row],[HalfWidth]],DiscreteStatsTable[[#This Row],[BatchMeansHalfWidth]])</f>
        <v>2.9668782439199362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6</v>
      </c>
      <c r="D162" t="s">
        <v>88</v>
      </c>
      <c r="E162" t="s">
        <v>81</v>
      </c>
      <c r="F162" t="s">
        <v>82</v>
      </c>
      <c r="G162">
        <v>0</v>
      </c>
      <c r="H162">
        <v>2E+20</v>
      </c>
      <c r="I162">
        <v>0</v>
      </c>
      <c r="J162">
        <v>0</v>
      </c>
      <c r="K162">
        <v>10</v>
      </c>
      <c r="L162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9.1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6</v>
      </c>
      <c r="D163" t="s">
        <v>88</v>
      </c>
      <c r="E163" t="s">
        <v>83</v>
      </c>
      <c r="F163" t="s">
        <v>82</v>
      </c>
      <c r="G163">
        <v>0</v>
      </c>
      <c r="H163">
        <v>2E+20</v>
      </c>
      <c r="I163">
        <v>0</v>
      </c>
      <c r="J163">
        <v>0</v>
      </c>
      <c r="K163">
        <v>10</v>
      </c>
      <c r="L163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9.1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6</v>
      </c>
      <c r="D164" t="s">
        <v>88</v>
      </c>
      <c r="E164" t="s">
        <v>84</v>
      </c>
      <c r="F164" t="s">
        <v>82</v>
      </c>
      <c r="G164">
        <v>75.979827869177001</v>
      </c>
      <c r="H164">
        <v>2E+20</v>
      </c>
      <c r="I164">
        <v>56.626986922865299</v>
      </c>
      <c r="J164">
        <v>91.982974517808003</v>
      </c>
      <c r="K164">
        <v>10</v>
      </c>
      <c r="L164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70.135489387108677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4.8457218697418316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60.103381078758702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76.946426748085798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43.060314991725399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119.281368492802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9.1</v>
      </c>
      <c r="W164" s="5">
        <f>IF((DiscreteStatsTable[[#This Row],[RepsRequested]]&gt;1),DiscreteStatsTable[[#This Row],[HalfWidth]],DiscreteStatsTable[[#This Row],[BatchMeansHalfWidth]])</f>
        <v>3.4664206039329009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6</v>
      </c>
      <c r="D165" t="s">
        <v>88</v>
      </c>
      <c r="E165" t="s">
        <v>85</v>
      </c>
      <c r="F165" t="s">
        <v>82</v>
      </c>
      <c r="G165">
        <v>12</v>
      </c>
      <c r="H165">
        <v>2E+20</v>
      </c>
      <c r="I165">
        <v>12</v>
      </c>
      <c r="J165">
        <v>12</v>
      </c>
      <c r="K165">
        <v>10</v>
      </c>
      <c r="L165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12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12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12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12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12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9.1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6</v>
      </c>
      <c r="D166" t="s">
        <v>88</v>
      </c>
      <c r="E166" t="s">
        <v>86</v>
      </c>
      <c r="F166" t="s">
        <v>82</v>
      </c>
      <c r="G166">
        <v>36.324052959151402</v>
      </c>
      <c r="H166">
        <v>2E+20</v>
      </c>
      <c r="I166">
        <v>28.379415255508999</v>
      </c>
      <c r="J166">
        <v>45.1671167856029</v>
      </c>
      <c r="K166">
        <v>10</v>
      </c>
      <c r="L166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36.534296536270553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1.2403095677603713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34.454913680466298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38.070291504247201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25.3401743969536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52.547838842594999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9.1</v>
      </c>
      <c r="W166" s="5">
        <f>IF((DiscreteStatsTable[[#This Row],[RepsRequested]]&gt;1),DiscreteStatsTable[[#This Row],[HalfWidth]],DiscreteStatsTable[[#This Row],[BatchMeansHalfWidth]])</f>
        <v>0.88726401483887163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6</v>
      </c>
      <c r="D167" t="s">
        <v>88</v>
      </c>
      <c r="E167" t="s">
        <v>87</v>
      </c>
      <c r="F167" t="s">
        <v>82</v>
      </c>
      <c r="G167">
        <v>27.655774910025599</v>
      </c>
      <c r="H167">
        <v>2E+20</v>
      </c>
      <c r="I167">
        <v>4.4669319441764701</v>
      </c>
      <c r="J167">
        <v>45.6865238694105</v>
      </c>
      <c r="K167">
        <v>10</v>
      </c>
      <c r="L167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21.601192850838142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4.1474098022359787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13.6484673982924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27.655774910025599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68.091856714806795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9.1</v>
      </c>
      <c r="W167" s="5">
        <f>IF((DiscreteStatsTable[[#This Row],[RepsRequested]]&gt;1),DiscreteStatsTable[[#This Row],[HalfWidth]],DiscreteStatsTable[[#This Row],[BatchMeansHalfWidth]])</f>
        <v>2.9668782439199362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7</v>
      </c>
      <c r="D168" t="s">
        <v>88</v>
      </c>
      <c r="E168" t="s">
        <v>81</v>
      </c>
      <c r="F168" t="s">
        <v>82</v>
      </c>
      <c r="G168">
        <v>0</v>
      </c>
      <c r="H168">
        <v>2E+20</v>
      </c>
      <c r="I168">
        <v>0</v>
      </c>
      <c r="J168">
        <v>0</v>
      </c>
      <c r="K168">
        <v>9</v>
      </c>
      <c r="L168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9.1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7</v>
      </c>
      <c r="D169" t="s">
        <v>88</v>
      </c>
      <c r="E169" t="s">
        <v>83</v>
      </c>
      <c r="F169" t="s">
        <v>82</v>
      </c>
      <c r="G169">
        <v>0</v>
      </c>
      <c r="H169">
        <v>2E+20</v>
      </c>
      <c r="I169">
        <v>0</v>
      </c>
      <c r="J169">
        <v>0</v>
      </c>
      <c r="K169">
        <v>9</v>
      </c>
      <c r="L169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9.1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7</v>
      </c>
      <c r="D170" t="s">
        <v>88</v>
      </c>
      <c r="E170" t="s">
        <v>84</v>
      </c>
      <c r="F170" t="s">
        <v>82</v>
      </c>
      <c r="G170">
        <v>73.5635700526515</v>
      </c>
      <c r="H170">
        <v>2E+20</v>
      </c>
      <c r="I170">
        <v>50.768320688420097</v>
      </c>
      <c r="J170">
        <v>98.998804684139699</v>
      </c>
      <c r="K170">
        <v>9</v>
      </c>
      <c r="L170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70.135489387108677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4.8457218697418316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60.103381078758702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76.946426748085798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43.060314991725399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119.281368492802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9.1</v>
      </c>
      <c r="W170" s="5">
        <f>IF((DiscreteStatsTable[[#This Row],[RepsRequested]]&gt;1),DiscreteStatsTable[[#This Row],[HalfWidth]],DiscreteStatsTable[[#This Row],[BatchMeansHalfWidth]])</f>
        <v>3.4664206039329009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7</v>
      </c>
      <c r="D171" t="s">
        <v>88</v>
      </c>
      <c r="E171" t="s">
        <v>85</v>
      </c>
      <c r="F171" t="s">
        <v>82</v>
      </c>
      <c r="G171">
        <v>12</v>
      </c>
      <c r="H171">
        <v>2E+20</v>
      </c>
      <c r="I171">
        <v>12</v>
      </c>
      <c r="J171">
        <v>12</v>
      </c>
      <c r="K171">
        <v>9</v>
      </c>
      <c r="L171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12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12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12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12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12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9.1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7</v>
      </c>
      <c r="D172" t="s">
        <v>88</v>
      </c>
      <c r="E172" t="s">
        <v>86</v>
      </c>
      <c r="F172" t="s">
        <v>82</v>
      </c>
      <c r="G172">
        <v>37.176173196235197</v>
      </c>
      <c r="H172">
        <v>2E+20</v>
      </c>
      <c r="I172">
        <v>33.626778488164099</v>
      </c>
      <c r="J172">
        <v>43.784983007715297</v>
      </c>
      <c r="K172">
        <v>9</v>
      </c>
      <c r="L172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36.534296536270553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1.2403095677603713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34.454913680466298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38.070291504247201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25.3401743969536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52.547838842594999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9.1</v>
      </c>
      <c r="W172" s="5">
        <f>IF((DiscreteStatsTable[[#This Row],[RepsRequested]]&gt;1),DiscreteStatsTable[[#This Row],[HalfWidth]],DiscreteStatsTable[[#This Row],[BatchMeansHalfWidth]])</f>
        <v>0.88726401483887163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7</v>
      </c>
      <c r="D173" t="s">
        <v>88</v>
      </c>
      <c r="E173" t="s">
        <v>87</v>
      </c>
      <c r="F173" t="s">
        <v>82</v>
      </c>
      <c r="G173">
        <v>24.387396856416199</v>
      </c>
      <c r="H173">
        <v>2E+20</v>
      </c>
      <c r="I173">
        <v>5.1415422002560298</v>
      </c>
      <c r="J173">
        <v>47.578386243518601</v>
      </c>
      <c r="K173">
        <v>9</v>
      </c>
      <c r="L173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21.601192850838142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4.1474098022359787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13.6484673982924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27.655774910025599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68.091856714806795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9.1</v>
      </c>
      <c r="W173" s="5">
        <f>IF((DiscreteStatsTable[[#This Row],[RepsRequested]]&gt;1),DiscreteStatsTable[[#This Row],[HalfWidth]],DiscreteStatsTable[[#This Row],[BatchMeansHalfWidth]])</f>
        <v>2.9668782439199362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8</v>
      </c>
      <c r="D174" t="s">
        <v>88</v>
      </c>
      <c r="E174" t="s">
        <v>81</v>
      </c>
      <c r="F174" t="s">
        <v>82</v>
      </c>
      <c r="G174">
        <v>0</v>
      </c>
      <c r="H174">
        <v>2E+20</v>
      </c>
      <c r="I174">
        <v>0</v>
      </c>
      <c r="J174">
        <v>0</v>
      </c>
      <c r="K174">
        <v>8</v>
      </c>
      <c r="L174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9.1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8</v>
      </c>
      <c r="D175" t="s">
        <v>88</v>
      </c>
      <c r="E175" t="s">
        <v>83</v>
      </c>
      <c r="F175" t="s">
        <v>82</v>
      </c>
      <c r="G175">
        <v>0</v>
      </c>
      <c r="H175">
        <v>2E+20</v>
      </c>
      <c r="I175">
        <v>0</v>
      </c>
      <c r="J175">
        <v>0</v>
      </c>
      <c r="K175">
        <v>8</v>
      </c>
      <c r="L175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9.1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8</v>
      </c>
      <c r="D176" t="s">
        <v>88</v>
      </c>
      <c r="E176" t="s">
        <v>84</v>
      </c>
      <c r="F176" t="s">
        <v>82</v>
      </c>
      <c r="G176">
        <v>70.549787555598996</v>
      </c>
      <c r="H176">
        <v>2E+20</v>
      </c>
      <c r="I176">
        <v>46.966856281960801</v>
      </c>
      <c r="J176">
        <v>93.817977402565205</v>
      </c>
      <c r="K176">
        <v>8</v>
      </c>
      <c r="L176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70.135489387108677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4.8457218697418316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60.103381078758702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76.946426748085798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43.060314991725399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119.281368492802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9.1</v>
      </c>
      <c r="W176" s="5">
        <f>IF((DiscreteStatsTable[[#This Row],[RepsRequested]]&gt;1),DiscreteStatsTable[[#This Row],[HalfWidth]],DiscreteStatsTable[[#This Row],[BatchMeansHalfWidth]])</f>
        <v>3.4664206039329009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8</v>
      </c>
      <c r="D177" t="s">
        <v>88</v>
      </c>
      <c r="E177" t="s">
        <v>85</v>
      </c>
      <c r="F177" t="s">
        <v>82</v>
      </c>
      <c r="G177">
        <v>12</v>
      </c>
      <c r="H177">
        <v>2E+20</v>
      </c>
      <c r="I177">
        <v>12</v>
      </c>
      <c r="J177">
        <v>12</v>
      </c>
      <c r="K177">
        <v>8</v>
      </c>
      <c r="L177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12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12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12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12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12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9.1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8</v>
      </c>
      <c r="D178" t="s">
        <v>88</v>
      </c>
      <c r="E178" t="s">
        <v>86</v>
      </c>
      <c r="F178" t="s">
        <v>82</v>
      </c>
      <c r="G178">
        <v>37.633992048653298</v>
      </c>
      <c r="H178">
        <v>2E+20</v>
      </c>
      <c r="I178">
        <v>25.930229210364502</v>
      </c>
      <c r="J178">
        <v>46.289112942532903</v>
      </c>
      <c r="K178">
        <v>8</v>
      </c>
      <c r="L178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36.534296536270553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1.2403095677603713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34.454913680466298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38.070291504247201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25.3401743969536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52.547838842594999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9.1</v>
      </c>
      <c r="W178" s="5">
        <f>IF((DiscreteStatsTable[[#This Row],[RepsRequested]]&gt;1),DiscreteStatsTable[[#This Row],[HalfWidth]],DiscreteStatsTable[[#This Row],[BatchMeansHalfWidth]])</f>
        <v>0.88726401483887163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8</v>
      </c>
      <c r="D179" t="s">
        <v>88</v>
      </c>
      <c r="E179" t="s">
        <v>87</v>
      </c>
      <c r="F179" t="s">
        <v>82</v>
      </c>
      <c r="G179">
        <v>20.915795506945699</v>
      </c>
      <c r="H179">
        <v>2E+20</v>
      </c>
      <c r="I179">
        <v>0</v>
      </c>
      <c r="J179">
        <v>38.202867985292897</v>
      </c>
      <c r="K179">
        <v>8</v>
      </c>
      <c r="L179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21.601192850838142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4.1474098022359787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13.6484673982924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27.655774910025599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68.091856714806795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9.1</v>
      </c>
      <c r="W179" s="5">
        <f>IF((DiscreteStatsTable[[#This Row],[RepsRequested]]&gt;1),DiscreteStatsTable[[#This Row],[HalfWidth]],DiscreteStatsTable[[#This Row],[BatchMeansHalfWidth]])</f>
        <v>2.9668782439199362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9</v>
      </c>
      <c r="D180" t="s">
        <v>88</v>
      </c>
      <c r="E180" t="s">
        <v>81</v>
      </c>
      <c r="F180" t="s">
        <v>82</v>
      </c>
      <c r="G180">
        <v>0</v>
      </c>
      <c r="H180">
        <v>2E+20</v>
      </c>
      <c r="I180">
        <v>0</v>
      </c>
      <c r="J180">
        <v>0</v>
      </c>
      <c r="K180">
        <v>9</v>
      </c>
      <c r="L180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9.1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9</v>
      </c>
      <c r="D181" t="s">
        <v>88</v>
      </c>
      <c r="E181" t="s">
        <v>83</v>
      </c>
      <c r="F181" t="s">
        <v>82</v>
      </c>
      <c r="G181">
        <v>0</v>
      </c>
      <c r="H181">
        <v>2E+20</v>
      </c>
      <c r="I181">
        <v>0</v>
      </c>
      <c r="J181">
        <v>0</v>
      </c>
      <c r="K181">
        <v>9</v>
      </c>
      <c r="L181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9.1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9</v>
      </c>
      <c r="D182" t="s">
        <v>88</v>
      </c>
      <c r="E182" t="s">
        <v>84</v>
      </c>
      <c r="F182" t="s">
        <v>82</v>
      </c>
      <c r="G182">
        <v>69.6527097544583</v>
      </c>
      <c r="H182">
        <v>2E+20</v>
      </c>
      <c r="I182">
        <v>49.619669076677901</v>
      </c>
      <c r="J182">
        <v>83.747640065904605</v>
      </c>
      <c r="K182">
        <v>9</v>
      </c>
      <c r="L182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70.135489387108677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4.8457218697418316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60.103381078758702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76.946426748085798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43.060314991725399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119.281368492802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9.1</v>
      </c>
      <c r="W182" s="5">
        <f>IF((DiscreteStatsTable[[#This Row],[RepsRequested]]&gt;1),DiscreteStatsTable[[#This Row],[HalfWidth]],DiscreteStatsTable[[#This Row],[BatchMeansHalfWidth]])</f>
        <v>3.4664206039329009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9</v>
      </c>
      <c r="D183" t="s">
        <v>88</v>
      </c>
      <c r="E183" t="s">
        <v>85</v>
      </c>
      <c r="F183" t="s">
        <v>82</v>
      </c>
      <c r="G183">
        <v>12</v>
      </c>
      <c r="H183">
        <v>2E+20</v>
      </c>
      <c r="I183">
        <v>12</v>
      </c>
      <c r="J183">
        <v>12</v>
      </c>
      <c r="K183">
        <v>9</v>
      </c>
      <c r="L183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12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12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12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12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9.1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9</v>
      </c>
      <c r="D184" t="s">
        <v>88</v>
      </c>
      <c r="E184" t="s">
        <v>86</v>
      </c>
      <c r="F184" t="s">
        <v>82</v>
      </c>
      <c r="G184">
        <v>37.125016403396202</v>
      </c>
      <c r="H184">
        <v>2E+20</v>
      </c>
      <c r="I184">
        <v>30.417924927175498</v>
      </c>
      <c r="J184">
        <v>40.545195578582401</v>
      </c>
      <c r="K184">
        <v>9</v>
      </c>
      <c r="L184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36.534296536270553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1.2403095677603713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34.454913680466298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38.070291504247201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25.3401743969536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52.547838842594999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9.1</v>
      </c>
      <c r="W184" s="5">
        <f>IF((DiscreteStatsTable[[#This Row],[RepsRequested]]&gt;1),DiscreteStatsTable[[#This Row],[HalfWidth]],DiscreteStatsTable[[#This Row],[BatchMeansHalfWidth]])</f>
        <v>0.88726401483887163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9</v>
      </c>
      <c r="D185" t="s">
        <v>88</v>
      </c>
      <c r="E185" t="s">
        <v>87</v>
      </c>
      <c r="F185" t="s">
        <v>82</v>
      </c>
      <c r="G185">
        <v>20.527693351062101</v>
      </c>
      <c r="H185">
        <v>2E+20</v>
      </c>
      <c r="I185">
        <v>2.9217115270639802</v>
      </c>
      <c r="J185">
        <v>33.188426733590497</v>
      </c>
      <c r="K185">
        <v>9</v>
      </c>
      <c r="L185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21.601192850838142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4.1474098022359787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13.6484673982924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27.655774910025599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68.091856714806795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9.1</v>
      </c>
      <c r="W185" s="5">
        <f>IF((DiscreteStatsTable[[#This Row],[RepsRequested]]&gt;1),DiscreteStatsTable[[#This Row],[HalfWidth]],DiscreteStatsTable[[#This Row],[BatchMeansHalfWidth]])</f>
        <v>2.9668782439199362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10</v>
      </c>
      <c r="D186" t="s">
        <v>88</v>
      </c>
      <c r="E186" t="s">
        <v>81</v>
      </c>
      <c r="F186" t="s">
        <v>82</v>
      </c>
      <c r="G186">
        <v>0</v>
      </c>
      <c r="H186">
        <v>2E+20</v>
      </c>
      <c r="I186">
        <v>0</v>
      </c>
      <c r="J186">
        <v>0</v>
      </c>
      <c r="K186">
        <v>9</v>
      </c>
      <c r="L186" s="5" t="str">
        <f>DiscreteStatsTable[[#This Row],[ProjectName]]&amp;DiscreteStatsTable[[#This Row],[Name]]&amp;DiscreteStatsTable[[#This Row],[Type]]&amp;DiscreteStatsTable[[#This Row],[Source]]</f>
        <v>Unnamed ProjectType2NVA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9.1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10</v>
      </c>
      <c r="D187" t="s">
        <v>88</v>
      </c>
      <c r="E187" t="s">
        <v>83</v>
      </c>
      <c r="F187" t="s">
        <v>82</v>
      </c>
      <c r="G187">
        <v>0</v>
      </c>
      <c r="H187">
        <v>2E+20</v>
      </c>
      <c r="I187">
        <v>0</v>
      </c>
      <c r="J187">
        <v>0</v>
      </c>
      <c r="K187">
        <v>9</v>
      </c>
      <c r="L187" s="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9.1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10</v>
      </c>
      <c r="D188" t="s">
        <v>88</v>
      </c>
      <c r="E188" t="s">
        <v>84</v>
      </c>
      <c r="F188" t="s">
        <v>82</v>
      </c>
      <c r="G188">
        <v>70.360356364047803</v>
      </c>
      <c r="H188">
        <v>2E+20</v>
      </c>
      <c r="I188">
        <v>50.474216724447402</v>
      </c>
      <c r="J188">
        <v>102.160122612164</v>
      </c>
      <c r="K188">
        <v>9</v>
      </c>
      <c r="L188" s="5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70.135489387108677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4.8457218697418316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3.4664206039329009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60.103381078758702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76.946426748085798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43.060314991725399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119.281368492802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9.1</v>
      </c>
      <c r="W188" s="5">
        <f>IF((DiscreteStatsTable[[#This Row],[RepsRequested]]&gt;1),DiscreteStatsTable[[#This Row],[HalfWidth]],DiscreteStatsTable[[#This Row],[BatchMeansHalfWidth]])</f>
        <v>3.4664206039329009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10</v>
      </c>
      <c r="D189" t="s">
        <v>88</v>
      </c>
      <c r="E189" t="s">
        <v>85</v>
      </c>
      <c r="F189" t="s">
        <v>82</v>
      </c>
      <c r="G189">
        <v>12</v>
      </c>
      <c r="H189">
        <v>2E+20</v>
      </c>
      <c r="I189">
        <v>12</v>
      </c>
      <c r="J189">
        <v>12</v>
      </c>
      <c r="K189">
        <v>9</v>
      </c>
      <c r="L189" s="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12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12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12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12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9.1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10</v>
      </c>
      <c r="D190" t="s">
        <v>88</v>
      </c>
      <c r="E190" t="s">
        <v>86</v>
      </c>
      <c r="F190" t="s">
        <v>82</v>
      </c>
      <c r="G190">
        <v>34.827591036774599</v>
      </c>
      <c r="H190">
        <v>2E+20</v>
      </c>
      <c r="I190">
        <v>28.646852640288898</v>
      </c>
      <c r="J190">
        <v>39.8179214313244</v>
      </c>
      <c r="K190">
        <v>9</v>
      </c>
      <c r="L190" s="5" t="str">
        <f>DiscreteStatsTable[[#This Row],[ProjectName]]&amp;DiscreteStatsTable[[#This Row],[Name]]&amp;DiscreteStatsTable[[#This Row],[Type]]&amp;DiscreteStatsTable[[#This Row],[Source]]</f>
        <v>Unnamed ProjectType2VA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36.534296536270553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1.2403095677603713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0.88726401483887163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34.454913680466298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38.070291504247201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25.3401743969536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52.547838842594999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9.1</v>
      </c>
      <c r="W190" s="5">
        <f>IF((DiscreteStatsTable[[#This Row],[RepsRequested]]&gt;1),DiscreteStatsTable[[#This Row],[HalfWidth]],DiscreteStatsTable[[#This Row],[BatchMeansHalfWidth]])</f>
        <v>0.88726401483887163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88</v>
      </c>
      <c r="E191" t="s">
        <v>87</v>
      </c>
      <c r="F191" t="s">
        <v>82</v>
      </c>
      <c r="G191">
        <v>23.5327653272732</v>
      </c>
      <c r="H191">
        <v>2E+20</v>
      </c>
      <c r="I191">
        <v>0</v>
      </c>
      <c r="J191">
        <v>61.513269971875303</v>
      </c>
      <c r="K191">
        <v>9</v>
      </c>
      <c r="L191" s="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21.601192850838142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4.1474098022359787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2.9668782439199362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13.6484673982924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27.655774910025599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68.091856714806795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9.1</v>
      </c>
      <c r="W191" s="5">
        <f>IF((DiscreteStatsTable[[#This Row],[RepsRequested]]&gt;1),DiscreteStatsTable[[#This Row],[HalfWidth]],DiscreteStatsTable[[#This Row],[BatchMeansHalfWidth]])</f>
        <v>2.9668782439199362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</v>
      </c>
      <c r="D192" t="s">
        <v>89</v>
      </c>
      <c r="E192" t="s">
        <v>81</v>
      </c>
      <c r="F192" t="s">
        <v>82</v>
      </c>
      <c r="G192">
        <v>0</v>
      </c>
      <c r="H192">
        <v>2E+20</v>
      </c>
      <c r="I192">
        <v>0</v>
      </c>
      <c r="J192">
        <v>0</v>
      </c>
      <c r="K192">
        <v>8</v>
      </c>
      <c r="L192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11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</v>
      </c>
      <c r="D193" t="s">
        <v>89</v>
      </c>
      <c r="E193" t="s">
        <v>83</v>
      </c>
      <c r="F193" t="s">
        <v>82</v>
      </c>
      <c r="G193">
        <v>0</v>
      </c>
      <c r="H193">
        <v>2E+20</v>
      </c>
      <c r="I193">
        <v>0</v>
      </c>
      <c r="J193">
        <v>0</v>
      </c>
      <c r="K193">
        <v>8</v>
      </c>
      <c r="L193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11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</v>
      </c>
      <c r="D194" t="s">
        <v>89</v>
      </c>
      <c r="E194" t="s">
        <v>84</v>
      </c>
      <c r="F194" t="s">
        <v>82</v>
      </c>
      <c r="G194">
        <v>45.030842375200301</v>
      </c>
      <c r="H194">
        <v>2E+20</v>
      </c>
      <c r="I194">
        <v>27.274994270016201</v>
      </c>
      <c r="J194">
        <v>78.499597813463097</v>
      </c>
      <c r="K194">
        <v>8</v>
      </c>
      <c r="L194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41.480245301861984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6.7551036021783171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33.521703094146403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53.188885435375902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24.599315398531001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78.499597813463097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11</v>
      </c>
      <c r="W194" s="5">
        <f>IF((DiscreteStatsTable[[#This Row],[RepsRequested]]&gt;1),DiscreteStatsTable[[#This Row],[HalfWidth]],DiscreteStatsTable[[#This Row],[BatchMeansHalfWidth]])</f>
        <v>4.8323100123655722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</v>
      </c>
      <c r="D195" t="s">
        <v>89</v>
      </c>
      <c r="E195" t="s">
        <v>85</v>
      </c>
      <c r="F195" t="s">
        <v>82</v>
      </c>
      <c r="G195">
        <v>9</v>
      </c>
      <c r="H195">
        <v>2E+20</v>
      </c>
      <c r="I195">
        <v>9</v>
      </c>
      <c r="J195">
        <v>9.0000000000000302</v>
      </c>
      <c r="K195">
        <v>8</v>
      </c>
      <c r="L195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9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8.9999999999999893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9.0000000000000302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11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</v>
      </c>
      <c r="D196" t="s">
        <v>89</v>
      </c>
      <c r="E196" t="s">
        <v>86</v>
      </c>
      <c r="F196" t="s">
        <v>82</v>
      </c>
      <c r="G196">
        <v>20.905896241075698</v>
      </c>
      <c r="H196">
        <v>2E+20</v>
      </c>
      <c r="I196">
        <v>14.703681937936199</v>
      </c>
      <c r="J196">
        <v>26.807598048146499</v>
      </c>
      <c r="K196">
        <v>8</v>
      </c>
      <c r="L196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21.440206785788853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1.0702499592897796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18.960622719540901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22.776367399095498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13.262616210012901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28.307314565234201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11</v>
      </c>
      <c r="W196" s="5">
        <f>IF((DiscreteStatsTable[[#This Row],[RepsRequested]]&gt;1),DiscreteStatsTable[[#This Row],[HalfWidth]],DiscreteStatsTable[[#This Row],[BatchMeansHalfWidth]])</f>
        <v>0.76561069949276661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</v>
      </c>
      <c r="D197" t="s">
        <v>89</v>
      </c>
      <c r="E197" t="s">
        <v>87</v>
      </c>
      <c r="F197" t="s">
        <v>82</v>
      </c>
      <c r="G197">
        <v>15.124946134124601</v>
      </c>
      <c r="H197">
        <v>2E+20</v>
      </c>
      <c r="I197">
        <v>0</v>
      </c>
      <c r="J197">
        <v>44.6844748132783</v>
      </c>
      <c r="K197">
        <v>8</v>
      </c>
      <c r="L197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11.040038516073164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6.3942476210211643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2.8712742295470899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21.412518036280499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44.831511242791699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11</v>
      </c>
      <c r="W197" s="5">
        <f>IF((DiscreteStatsTable[[#This Row],[RepsRequested]]&gt;1),DiscreteStatsTable[[#This Row],[HalfWidth]],DiscreteStatsTable[[#This Row],[BatchMeansHalfWidth]])</f>
        <v>4.574169194183983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2</v>
      </c>
      <c r="D198" t="s">
        <v>89</v>
      </c>
      <c r="E198" t="s">
        <v>81</v>
      </c>
      <c r="F198" t="s">
        <v>82</v>
      </c>
      <c r="G198">
        <v>0</v>
      </c>
      <c r="H198">
        <v>2E+20</v>
      </c>
      <c r="I198">
        <v>0</v>
      </c>
      <c r="J198">
        <v>0</v>
      </c>
      <c r="K198">
        <v>14</v>
      </c>
      <c r="L198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11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2</v>
      </c>
      <c r="D199" t="s">
        <v>89</v>
      </c>
      <c r="E199" t="s">
        <v>83</v>
      </c>
      <c r="F199" t="s">
        <v>82</v>
      </c>
      <c r="G199">
        <v>0</v>
      </c>
      <c r="H199">
        <v>2E+20</v>
      </c>
      <c r="I199">
        <v>0</v>
      </c>
      <c r="J199">
        <v>0</v>
      </c>
      <c r="K199">
        <v>14</v>
      </c>
      <c r="L199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11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2</v>
      </c>
      <c r="D200" t="s">
        <v>89</v>
      </c>
      <c r="E200" t="s">
        <v>84</v>
      </c>
      <c r="F200" t="s">
        <v>82</v>
      </c>
      <c r="G200">
        <v>45.884775425524097</v>
      </c>
      <c r="H200">
        <v>2E+20</v>
      </c>
      <c r="I200">
        <v>31.779266697234199</v>
      </c>
      <c r="J200">
        <v>59.258896985915001</v>
      </c>
      <c r="K200">
        <v>14</v>
      </c>
      <c r="L200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41.480245301861984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6.7551036021783171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33.521703094146403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53.188885435375902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24.599315398531001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78.499597813463097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11</v>
      </c>
      <c r="W200" s="5">
        <f>IF((DiscreteStatsTable[[#This Row],[RepsRequested]]&gt;1),DiscreteStatsTable[[#This Row],[HalfWidth]],DiscreteStatsTable[[#This Row],[BatchMeansHalfWidth]])</f>
        <v>4.8323100123655722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</v>
      </c>
      <c r="D201" t="s">
        <v>89</v>
      </c>
      <c r="E201" t="s">
        <v>85</v>
      </c>
      <c r="F201" t="s">
        <v>82</v>
      </c>
      <c r="G201">
        <v>9</v>
      </c>
      <c r="H201">
        <v>2E+20</v>
      </c>
      <c r="I201">
        <v>9</v>
      </c>
      <c r="J201">
        <v>9</v>
      </c>
      <c r="K201">
        <v>14</v>
      </c>
      <c r="L201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9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8.9999999999999893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9.0000000000000302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11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</v>
      </c>
      <c r="D202" t="s">
        <v>89</v>
      </c>
      <c r="E202" t="s">
        <v>86</v>
      </c>
      <c r="F202" t="s">
        <v>82</v>
      </c>
      <c r="G202">
        <v>21.1506658108907</v>
      </c>
      <c r="H202">
        <v>2E+20</v>
      </c>
      <c r="I202">
        <v>16.163954293346301</v>
      </c>
      <c r="J202">
        <v>24.256391332024499</v>
      </c>
      <c r="K202">
        <v>14</v>
      </c>
      <c r="L202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21.440206785788853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1.0702499592897796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18.960622719540901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22.776367399095498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13.262616210012901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28.307314565234201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11</v>
      </c>
      <c r="W202" s="5">
        <f>IF((DiscreteStatsTable[[#This Row],[RepsRequested]]&gt;1),DiscreteStatsTable[[#This Row],[HalfWidth]],DiscreteStatsTable[[#This Row],[BatchMeansHalfWidth]])</f>
        <v>0.76561069949276661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</v>
      </c>
      <c r="D203" t="s">
        <v>89</v>
      </c>
      <c r="E203" t="s">
        <v>87</v>
      </c>
      <c r="F203" t="s">
        <v>82</v>
      </c>
      <c r="G203">
        <v>15.7341096146334</v>
      </c>
      <c r="H203">
        <v>2E+20</v>
      </c>
      <c r="I203">
        <v>6.2372471971733603</v>
      </c>
      <c r="J203">
        <v>30.716983049079801</v>
      </c>
      <c r="K203">
        <v>14</v>
      </c>
      <c r="L203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11.040038516073164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6.3942476210211643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2.8712742295470899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21.412518036280499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44.831511242791699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11</v>
      </c>
      <c r="W203" s="5">
        <f>IF((DiscreteStatsTable[[#This Row],[RepsRequested]]&gt;1),DiscreteStatsTable[[#This Row],[HalfWidth]],DiscreteStatsTable[[#This Row],[BatchMeansHalfWidth]])</f>
        <v>4.574169194183983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3</v>
      </c>
      <c r="D204" t="s">
        <v>89</v>
      </c>
      <c r="E204" t="s">
        <v>81</v>
      </c>
      <c r="F204" t="s">
        <v>82</v>
      </c>
      <c r="G204">
        <v>0</v>
      </c>
      <c r="H204">
        <v>2E+20</v>
      </c>
      <c r="I204">
        <v>0</v>
      </c>
      <c r="J204">
        <v>0</v>
      </c>
      <c r="K204">
        <v>10</v>
      </c>
      <c r="L204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11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3</v>
      </c>
      <c r="D205" t="s">
        <v>89</v>
      </c>
      <c r="E205" t="s">
        <v>83</v>
      </c>
      <c r="F205" t="s">
        <v>82</v>
      </c>
      <c r="G205">
        <v>0</v>
      </c>
      <c r="H205">
        <v>2E+20</v>
      </c>
      <c r="I205">
        <v>0</v>
      </c>
      <c r="J205">
        <v>0</v>
      </c>
      <c r="K205">
        <v>10</v>
      </c>
      <c r="L205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11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3</v>
      </c>
      <c r="D206" t="s">
        <v>89</v>
      </c>
      <c r="E206" t="s">
        <v>84</v>
      </c>
      <c r="F206" t="s">
        <v>82</v>
      </c>
      <c r="G206">
        <v>33.521703094146403</v>
      </c>
      <c r="H206">
        <v>2E+20</v>
      </c>
      <c r="I206">
        <v>29.293027386722301</v>
      </c>
      <c r="J206">
        <v>44.372408001904397</v>
      </c>
      <c r="K206">
        <v>10</v>
      </c>
      <c r="L206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41.480245301861984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6.7551036021783171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33.521703094146403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53.188885435375902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24.599315398531001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78.499597813463097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11</v>
      </c>
      <c r="W206" s="5">
        <f>IF((DiscreteStatsTable[[#This Row],[RepsRequested]]&gt;1),DiscreteStatsTable[[#This Row],[HalfWidth]],DiscreteStatsTable[[#This Row],[BatchMeansHalfWidth]])</f>
        <v>4.8323100123655722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3</v>
      </c>
      <c r="D207" t="s">
        <v>89</v>
      </c>
      <c r="E207" t="s">
        <v>85</v>
      </c>
      <c r="F207" t="s">
        <v>82</v>
      </c>
      <c r="G207">
        <v>9</v>
      </c>
      <c r="H207">
        <v>2E+20</v>
      </c>
      <c r="I207">
        <v>8.9999999999999893</v>
      </c>
      <c r="J207">
        <v>9</v>
      </c>
      <c r="K207">
        <v>10</v>
      </c>
      <c r="L207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9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8.9999999999999893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9.0000000000000302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11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3</v>
      </c>
      <c r="D208" t="s">
        <v>89</v>
      </c>
      <c r="E208" t="s">
        <v>86</v>
      </c>
      <c r="F208" t="s">
        <v>82</v>
      </c>
      <c r="G208">
        <v>21.650428864599299</v>
      </c>
      <c r="H208">
        <v>2E+20</v>
      </c>
      <c r="I208">
        <v>16.559659025686699</v>
      </c>
      <c r="J208">
        <v>25.2768874900494</v>
      </c>
      <c r="K208">
        <v>10</v>
      </c>
      <c r="L208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21.440206785788853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1.0702499592897796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18.960622719540901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22.776367399095498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13.262616210012901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28.307314565234201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11</v>
      </c>
      <c r="W208" s="5">
        <f>IF((DiscreteStatsTable[[#This Row],[RepsRequested]]&gt;1),DiscreteStatsTable[[#This Row],[HalfWidth]],DiscreteStatsTable[[#This Row],[BatchMeansHalfWidth]])</f>
        <v>0.76561069949276661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3</v>
      </c>
      <c r="D209" t="s">
        <v>89</v>
      </c>
      <c r="E209" t="s">
        <v>87</v>
      </c>
      <c r="F209" t="s">
        <v>82</v>
      </c>
      <c r="G209">
        <v>2.8712742295470899</v>
      </c>
      <c r="H209">
        <v>2E+20</v>
      </c>
      <c r="I209">
        <v>0</v>
      </c>
      <c r="J209">
        <v>12.1300359327827</v>
      </c>
      <c r="K209">
        <v>10</v>
      </c>
      <c r="L209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11.040038516073164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6.3942476210211643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2.8712742295470899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21.412518036280499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44.831511242791699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11</v>
      </c>
      <c r="W209" s="5">
        <f>IF((DiscreteStatsTable[[#This Row],[RepsRequested]]&gt;1),DiscreteStatsTable[[#This Row],[HalfWidth]],DiscreteStatsTable[[#This Row],[BatchMeansHalfWidth]])</f>
        <v>4.574169194183983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4</v>
      </c>
      <c r="D210" t="s">
        <v>89</v>
      </c>
      <c r="E210" t="s">
        <v>81</v>
      </c>
      <c r="F210" t="s">
        <v>82</v>
      </c>
      <c r="G210">
        <v>0</v>
      </c>
      <c r="H210">
        <v>2E+20</v>
      </c>
      <c r="I210">
        <v>0</v>
      </c>
      <c r="J210">
        <v>0</v>
      </c>
      <c r="K210">
        <v>10</v>
      </c>
      <c r="L210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11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4</v>
      </c>
      <c r="D211" t="s">
        <v>89</v>
      </c>
      <c r="E211" t="s">
        <v>83</v>
      </c>
      <c r="F211" t="s">
        <v>82</v>
      </c>
      <c r="G211">
        <v>0</v>
      </c>
      <c r="H211">
        <v>2E+20</v>
      </c>
      <c r="I211">
        <v>0</v>
      </c>
      <c r="J211">
        <v>0</v>
      </c>
      <c r="K211">
        <v>10</v>
      </c>
      <c r="L211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11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 s="5">
        <f>IF(DiscreteStatsTable[[#This Row],[RepsRequested]]=DiscreteStatsTable[[#This Row],[RepsWithStatObserved]],1,0)</f>
        <v>1</v>
      </c>
    </row>
    <row r="212" spans="1:25" x14ac:dyDescent="0.3">
      <c r="A212" t="s">
        <v>66</v>
      </c>
      <c r="B212" t="s">
        <v>68</v>
      </c>
      <c r="C212">
        <v>4</v>
      </c>
      <c r="D212" t="s">
        <v>89</v>
      </c>
      <c r="E212" t="s">
        <v>84</v>
      </c>
      <c r="F212" t="s">
        <v>82</v>
      </c>
      <c r="G212">
        <v>38.296529258044004</v>
      </c>
      <c r="H212">
        <v>2E+20</v>
      </c>
      <c r="I212">
        <v>28.794312501509602</v>
      </c>
      <c r="J212">
        <v>58.179445421342798</v>
      </c>
      <c r="K212">
        <v>10</v>
      </c>
      <c r="L212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41.480245301861984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6.7551036021783171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33.521703094146403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53.188885435375902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24.599315398531001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78.499597813463097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11</v>
      </c>
      <c r="W212" s="5">
        <f>IF((DiscreteStatsTable[[#This Row],[RepsRequested]]&gt;1),DiscreteStatsTable[[#This Row],[HalfWidth]],DiscreteStatsTable[[#This Row],[BatchMeansHalfWidth]])</f>
        <v>4.8323100123655722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10</v>
      </c>
      <c r="Y212" s="5">
        <f>IF(DiscreteStatsTable[[#This Row],[RepsRequested]]=DiscreteStatsTable[[#This Row],[RepsWithStatObserved]],1,0)</f>
        <v>1</v>
      </c>
    </row>
    <row r="213" spans="1:25" x14ac:dyDescent="0.3">
      <c r="A213" t="s">
        <v>66</v>
      </c>
      <c r="B213" t="s">
        <v>68</v>
      </c>
      <c r="C213">
        <v>4</v>
      </c>
      <c r="D213" t="s">
        <v>89</v>
      </c>
      <c r="E213" t="s">
        <v>85</v>
      </c>
      <c r="F213" t="s">
        <v>82</v>
      </c>
      <c r="G213">
        <v>9</v>
      </c>
      <c r="H213">
        <v>2E+20</v>
      </c>
      <c r="I213">
        <v>9</v>
      </c>
      <c r="J213">
        <v>9</v>
      </c>
      <c r="K213">
        <v>10</v>
      </c>
      <c r="L213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9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8.9999999999999893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9.0000000000000302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11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10</v>
      </c>
      <c r="Y213" s="5">
        <f>IF(DiscreteStatsTable[[#This Row],[RepsRequested]]=DiscreteStatsTable[[#This Row],[RepsWithStatObserved]],1,0)</f>
        <v>1</v>
      </c>
    </row>
    <row r="214" spans="1:25" x14ac:dyDescent="0.3">
      <c r="A214" t="s">
        <v>66</v>
      </c>
      <c r="B214" t="s">
        <v>68</v>
      </c>
      <c r="C214">
        <v>4</v>
      </c>
      <c r="D214" t="s">
        <v>89</v>
      </c>
      <c r="E214" t="s">
        <v>86</v>
      </c>
      <c r="F214" t="s">
        <v>82</v>
      </c>
      <c r="G214">
        <v>22.040703390760601</v>
      </c>
      <c r="H214">
        <v>2E+20</v>
      </c>
      <c r="I214">
        <v>18.921335176906702</v>
      </c>
      <c r="J214">
        <v>24.948772220811801</v>
      </c>
      <c r="K214">
        <v>10</v>
      </c>
      <c r="L214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21.440206785788853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1.0702499592897796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18.960622719540901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22.776367399095498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13.262616210012901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28.307314565234201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11</v>
      </c>
      <c r="W214" s="5">
        <f>IF((DiscreteStatsTable[[#This Row],[RepsRequested]]&gt;1),DiscreteStatsTable[[#This Row],[HalfWidth]],DiscreteStatsTable[[#This Row],[BatchMeansHalfWidth]])</f>
        <v>0.76561069949276661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10</v>
      </c>
      <c r="Y214" s="5">
        <f>IF(DiscreteStatsTable[[#This Row],[RepsRequested]]=DiscreteStatsTable[[#This Row],[RepsWithStatObserved]],1,0)</f>
        <v>1</v>
      </c>
    </row>
    <row r="215" spans="1:25" x14ac:dyDescent="0.3">
      <c r="A215" t="s">
        <v>66</v>
      </c>
      <c r="B215" t="s">
        <v>68</v>
      </c>
      <c r="C215">
        <v>4</v>
      </c>
      <c r="D215" t="s">
        <v>89</v>
      </c>
      <c r="E215" t="s">
        <v>87</v>
      </c>
      <c r="F215" t="s">
        <v>82</v>
      </c>
      <c r="G215">
        <v>7.2558258672833897</v>
      </c>
      <c r="H215">
        <v>2E+20</v>
      </c>
      <c r="I215">
        <v>0</v>
      </c>
      <c r="J215">
        <v>28.373996086027901</v>
      </c>
      <c r="K215">
        <v>10</v>
      </c>
      <c r="L215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11.040038516073164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6.3942476210211643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2.8712742295470899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21.412518036280499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44.831511242791699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11</v>
      </c>
      <c r="W215" s="5">
        <f>IF((DiscreteStatsTable[[#This Row],[RepsRequested]]&gt;1),DiscreteStatsTable[[#This Row],[HalfWidth]],DiscreteStatsTable[[#This Row],[BatchMeansHalfWidth]])</f>
        <v>4.574169194183983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10</v>
      </c>
      <c r="Y215" s="5">
        <f>IF(DiscreteStatsTable[[#This Row],[RepsRequested]]=DiscreteStatsTable[[#This Row],[RepsWithStatObserved]],1,0)</f>
        <v>1</v>
      </c>
    </row>
    <row r="216" spans="1:25" x14ac:dyDescent="0.3">
      <c r="A216" t="s">
        <v>66</v>
      </c>
      <c r="B216" t="s">
        <v>68</v>
      </c>
      <c r="C216">
        <v>5</v>
      </c>
      <c r="D216" t="s">
        <v>89</v>
      </c>
      <c r="E216" t="s">
        <v>81</v>
      </c>
      <c r="F216" t="s">
        <v>82</v>
      </c>
      <c r="G216">
        <v>0</v>
      </c>
      <c r="H216">
        <v>2E+20</v>
      </c>
      <c r="I216">
        <v>0</v>
      </c>
      <c r="J216">
        <v>0</v>
      </c>
      <c r="K216">
        <v>12</v>
      </c>
      <c r="L216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11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10</v>
      </c>
      <c r="Y216" s="5">
        <f>IF(DiscreteStatsTable[[#This Row],[RepsRequested]]=DiscreteStatsTable[[#This Row],[RepsWithStatObserved]],1,0)</f>
        <v>1</v>
      </c>
    </row>
    <row r="217" spans="1:25" x14ac:dyDescent="0.3">
      <c r="A217" t="s">
        <v>66</v>
      </c>
      <c r="B217" t="s">
        <v>68</v>
      </c>
      <c r="C217">
        <v>5</v>
      </c>
      <c r="D217" t="s">
        <v>89</v>
      </c>
      <c r="E217" t="s">
        <v>83</v>
      </c>
      <c r="F217" t="s">
        <v>82</v>
      </c>
      <c r="G217">
        <v>0</v>
      </c>
      <c r="H217">
        <v>2E+20</v>
      </c>
      <c r="I217">
        <v>0</v>
      </c>
      <c r="J217">
        <v>0</v>
      </c>
      <c r="K217">
        <v>12</v>
      </c>
      <c r="L217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11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10</v>
      </c>
      <c r="Y217" s="5">
        <f>IF(DiscreteStatsTable[[#This Row],[RepsRequested]]=DiscreteStatsTable[[#This Row],[RepsWithStatObserved]],1,0)</f>
        <v>1</v>
      </c>
    </row>
    <row r="218" spans="1:25" x14ac:dyDescent="0.3">
      <c r="A218" t="s">
        <v>66</v>
      </c>
      <c r="B218" t="s">
        <v>68</v>
      </c>
      <c r="C218">
        <v>5</v>
      </c>
      <c r="D218" t="s">
        <v>89</v>
      </c>
      <c r="E218" t="s">
        <v>84</v>
      </c>
      <c r="F218" t="s">
        <v>82</v>
      </c>
      <c r="G218">
        <v>35.5426263520528</v>
      </c>
      <c r="H218">
        <v>2E+20</v>
      </c>
      <c r="I218">
        <v>27.919642656243401</v>
      </c>
      <c r="J218">
        <v>46.457411341366203</v>
      </c>
      <c r="K218">
        <v>12</v>
      </c>
      <c r="L218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41.480245301861984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6.7551036021783171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33.521703094146403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53.188885435375902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24.599315398531001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78.499597813463097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11</v>
      </c>
      <c r="W218" s="5">
        <f>IF((DiscreteStatsTable[[#This Row],[RepsRequested]]&gt;1),DiscreteStatsTable[[#This Row],[HalfWidth]],DiscreteStatsTable[[#This Row],[BatchMeansHalfWidth]])</f>
        <v>4.8323100123655722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10</v>
      </c>
      <c r="Y218" s="5">
        <f>IF(DiscreteStatsTable[[#This Row],[RepsRequested]]=DiscreteStatsTable[[#This Row],[RepsWithStatObserved]],1,0)</f>
        <v>1</v>
      </c>
    </row>
    <row r="219" spans="1:25" x14ac:dyDescent="0.3">
      <c r="A219" t="s">
        <v>66</v>
      </c>
      <c r="B219" t="s">
        <v>68</v>
      </c>
      <c r="C219">
        <v>5</v>
      </c>
      <c r="D219" t="s">
        <v>89</v>
      </c>
      <c r="E219" t="s">
        <v>85</v>
      </c>
      <c r="F219" t="s">
        <v>82</v>
      </c>
      <c r="G219">
        <v>9</v>
      </c>
      <c r="H219">
        <v>2E+20</v>
      </c>
      <c r="I219">
        <v>9</v>
      </c>
      <c r="J219">
        <v>9</v>
      </c>
      <c r="K219">
        <v>12</v>
      </c>
      <c r="L219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9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8.9999999999999893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9.0000000000000302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11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10</v>
      </c>
      <c r="Y219" s="5">
        <f>IF(DiscreteStatsTable[[#This Row],[RepsRequested]]=DiscreteStatsTable[[#This Row],[RepsWithStatObserved]],1,0)</f>
        <v>1</v>
      </c>
    </row>
    <row r="220" spans="1:25" x14ac:dyDescent="0.3">
      <c r="A220" t="s">
        <v>66</v>
      </c>
      <c r="B220" t="s">
        <v>68</v>
      </c>
      <c r="C220">
        <v>5</v>
      </c>
      <c r="D220" t="s">
        <v>89</v>
      </c>
      <c r="E220" t="s">
        <v>86</v>
      </c>
      <c r="F220" t="s">
        <v>82</v>
      </c>
      <c r="G220">
        <v>18.960622719540901</v>
      </c>
      <c r="H220">
        <v>2E+20</v>
      </c>
      <c r="I220">
        <v>13.262616210012901</v>
      </c>
      <c r="J220">
        <v>21.785864558943398</v>
      </c>
      <c r="K220">
        <v>12</v>
      </c>
      <c r="L220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21.440206785788853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1.0702499592897796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18.960622719540901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22.776367399095498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13.262616210012901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28.307314565234201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11</v>
      </c>
      <c r="W220" s="5">
        <f>IF((DiscreteStatsTable[[#This Row],[RepsRequested]]&gt;1),DiscreteStatsTable[[#This Row],[HalfWidth]],DiscreteStatsTable[[#This Row],[BatchMeansHalfWidth]])</f>
        <v>0.76561069949276661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10</v>
      </c>
      <c r="Y220" s="5">
        <f>IF(DiscreteStatsTable[[#This Row],[RepsRequested]]=DiscreteStatsTable[[#This Row],[RepsWithStatObserved]],1,0)</f>
        <v>1</v>
      </c>
    </row>
    <row r="221" spans="1:25" x14ac:dyDescent="0.3">
      <c r="A221" t="s">
        <v>66</v>
      </c>
      <c r="B221" t="s">
        <v>68</v>
      </c>
      <c r="C221">
        <v>5</v>
      </c>
      <c r="D221" t="s">
        <v>89</v>
      </c>
      <c r="E221" t="s">
        <v>87</v>
      </c>
      <c r="F221" t="s">
        <v>82</v>
      </c>
      <c r="G221">
        <v>7.5820036325120004</v>
      </c>
      <c r="H221">
        <v>2E+20</v>
      </c>
      <c r="I221">
        <v>0</v>
      </c>
      <c r="J221">
        <v>18.406840111730901</v>
      </c>
      <c r="K221">
        <v>12</v>
      </c>
      <c r="L221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11.040038516073164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6.3942476210211643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2.8712742295470899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21.412518036280499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44.831511242791699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11</v>
      </c>
      <c r="W221" s="5">
        <f>IF((DiscreteStatsTable[[#This Row],[RepsRequested]]&gt;1),DiscreteStatsTable[[#This Row],[HalfWidth]],DiscreteStatsTable[[#This Row],[BatchMeansHalfWidth]])</f>
        <v>4.574169194183983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10</v>
      </c>
      <c r="Y221" s="5">
        <f>IF(DiscreteStatsTable[[#This Row],[RepsRequested]]=DiscreteStatsTable[[#This Row],[RepsWithStatObserved]],1,0)</f>
        <v>1</v>
      </c>
    </row>
    <row r="222" spans="1:25" x14ac:dyDescent="0.3">
      <c r="A222" t="s">
        <v>66</v>
      </c>
      <c r="B222" t="s">
        <v>68</v>
      </c>
      <c r="C222">
        <v>6</v>
      </c>
      <c r="D222" t="s">
        <v>89</v>
      </c>
      <c r="E222" t="s">
        <v>81</v>
      </c>
      <c r="F222" t="s">
        <v>82</v>
      </c>
      <c r="G222">
        <v>0</v>
      </c>
      <c r="H222">
        <v>2E+20</v>
      </c>
      <c r="I222">
        <v>0</v>
      </c>
      <c r="J222">
        <v>0</v>
      </c>
      <c r="K222">
        <v>13</v>
      </c>
      <c r="L222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10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11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10</v>
      </c>
      <c r="Y222" s="5">
        <f>IF(DiscreteStatsTable[[#This Row],[RepsRequested]]=DiscreteStatsTable[[#This Row],[RepsWithStatObserved]],1,0)</f>
        <v>1</v>
      </c>
    </row>
    <row r="223" spans="1:25" x14ac:dyDescent="0.3">
      <c r="A223" t="s">
        <v>66</v>
      </c>
      <c r="B223" t="s">
        <v>68</v>
      </c>
      <c r="C223">
        <v>6</v>
      </c>
      <c r="D223" t="s">
        <v>89</v>
      </c>
      <c r="E223" t="s">
        <v>83</v>
      </c>
      <c r="F223" t="s">
        <v>82</v>
      </c>
      <c r="G223">
        <v>0</v>
      </c>
      <c r="H223">
        <v>2E+20</v>
      </c>
      <c r="I223">
        <v>0</v>
      </c>
      <c r="J223">
        <v>0</v>
      </c>
      <c r="K223">
        <v>13</v>
      </c>
      <c r="L223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10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11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10</v>
      </c>
      <c r="Y223" s="5">
        <f>IF(DiscreteStatsTable[[#This Row],[RepsRequested]]=DiscreteStatsTable[[#This Row],[RepsWithStatObserved]],1,0)</f>
        <v>1</v>
      </c>
    </row>
    <row r="224" spans="1:25" x14ac:dyDescent="0.3">
      <c r="A224" t="s">
        <v>66</v>
      </c>
      <c r="B224" t="s">
        <v>68</v>
      </c>
      <c r="C224">
        <v>6</v>
      </c>
      <c r="D224" t="s">
        <v>89</v>
      </c>
      <c r="E224" t="s">
        <v>84</v>
      </c>
      <c r="F224" t="s">
        <v>82</v>
      </c>
      <c r="G224">
        <v>50.608944787418999</v>
      </c>
      <c r="H224">
        <v>2E+20</v>
      </c>
      <c r="I224">
        <v>26.342298132756898</v>
      </c>
      <c r="J224">
        <v>77.265719463960593</v>
      </c>
      <c r="K224">
        <v>13</v>
      </c>
      <c r="L224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10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41.480245301861984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6.7551036021783171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33.521703094146403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53.188885435375902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24.599315398531001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78.499597813463097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11</v>
      </c>
      <c r="W224" s="5">
        <f>IF((DiscreteStatsTable[[#This Row],[RepsRequested]]&gt;1),DiscreteStatsTable[[#This Row],[HalfWidth]],DiscreteStatsTable[[#This Row],[BatchMeansHalfWidth]])</f>
        <v>4.8323100123655722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10</v>
      </c>
      <c r="Y224" s="5">
        <f>IF(DiscreteStatsTable[[#This Row],[RepsRequested]]=DiscreteStatsTable[[#This Row],[RepsWithStatObserved]],1,0)</f>
        <v>1</v>
      </c>
    </row>
    <row r="225" spans="1:25" x14ac:dyDescent="0.3">
      <c r="A225" t="s">
        <v>66</v>
      </c>
      <c r="B225" t="s">
        <v>68</v>
      </c>
      <c r="C225">
        <v>6</v>
      </c>
      <c r="D225" t="s">
        <v>89</v>
      </c>
      <c r="E225" t="s">
        <v>85</v>
      </c>
      <c r="F225" t="s">
        <v>82</v>
      </c>
      <c r="G225">
        <v>9</v>
      </c>
      <c r="H225">
        <v>2E+20</v>
      </c>
      <c r="I225">
        <v>8.9999999999999893</v>
      </c>
      <c r="J225">
        <v>9</v>
      </c>
      <c r="K225">
        <v>13</v>
      </c>
      <c r="L225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10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9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8.9999999999999893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9.0000000000000302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11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10</v>
      </c>
      <c r="Y225" s="5">
        <f>IF(DiscreteStatsTable[[#This Row],[RepsRequested]]=DiscreteStatsTable[[#This Row],[RepsWithStatObserved]],1,0)</f>
        <v>1</v>
      </c>
    </row>
    <row r="226" spans="1:25" x14ac:dyDescent="0.3">
      <c r="A226" t="s">
        <v>66</v>
      </c>
      <c r="B226" t="s">
        <v>68</v>
      </c>
      <c r="C226">
        <v>6</v>
      </c>
      <c r="D226" t="s">
        <v>89</v>
      </c>
      <c r="E226" t="s">
        <v>86</v>
      </c>
      <c r="F226" t="s">
        <v>82</v>
      </c>
      <c r="G226">
        <v>21.852006056677698</v>
      </c>
      <c r="H226">
        <v>2E+20</v>
      </c>
      <c r="I226">
        <v>14.271610671818699</v>
      </c>
      <c r="J226">
        <v>27.876829255981601</v>
      </c>
      <c r="K226">
        <v>13</v>
      </c>
      <c r="L226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10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21.440206785788853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1.0702499592897796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18.960622719540901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22.776367399095498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13.262616210012901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28.307314565234201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11</v>
      </c>
      <c r="W226" s="5">
        <f>IF((DiscreteStatsTable[[#This Row],[RepsRequested]]&gt;1),DiscreteStatsTable[[#This Row],[HalfWidth]],DiscreteStatsTable[[#This Row],[BatchMeansHalfWidth]])</f>
        <v>0.76561069949276661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10</v>
      </c>
      <c r="Y226" s="5">
        <f>IF(DiscreteStatsTable[[#This Row],[RepsRequested]]=DiscreteStatsTable[[#This Row],[RepsWithStatObserved]],1,0)</f>
        <v>1</v>
      </c>
    </row>
    <row r="227" spans="1:25" x14ac:dyDescent="0.3">
      <c r="A227" t="s">
        <v>66</v>
      </c>
      <c r="B227" t="s">
        <v>68</v>
      </c>
      <c r="C227">
        <v>6</v>
      </c>
      <c r="D227" t="s">
        <v>89</v>
      </c>
      <c r="E227" t="s">
        <v>87</v>
      </c>
      <c r="F227" t="s">
        <v>82</v>
      </c>
      <c r="G227">
        <v>19.7569387307413</v>
      </c>
      <c r="H227">
        <v>2E+20</v>
      </c>
      <c r="I227">
        <v>0</v>
      </c>
      <c r="J227">
        <v>44.831511242791699</v>
      </c>
      <c r="K227">
        <v>13</v>
      </c>
      <c r="L227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10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11.040038516073164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6.3942476210211643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2.8712742295470899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21.412518036280499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44.831511242791699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11</v>
      </c>
      <c r="W227" s="5">
        <f>IF((DiscreteStatsTable[[#This Row],[RepsRequested]]&gt;1),DiscreteStatsTable[[#This Row],[HalfWidth]],DiscreteStatsTable[[#This Row],[BatchMeansHalfWidth]])</f>
        <v>4.574169194183983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10</v>
      </c>
      <c r="Y227" s="5">
        <f>IF(DiscreteStatsTable[[#This Row],[RepsRequested]]=DiscreteStatsTable[[#This Row],[RepsWithStatObserved]],1,0)</f>
        <v>1</v>
      </c>
    </row>
    <row r="228" spans="1:25" x14ac:dyDescent="0.3">
      <c r="A228" t="s">
        <v>66</v>
      </c>
      <c r="B228" t="s">
        <v>68</v>
      </c>
      <c r="C228">
        <v>7</v>
      </c>
      <c r="D228" t="s">
        <v>89</v>
      </c>
      <c r="E228" t="s">
        <v>81</v>
      </c>
      <c r="F228" t="s">
        <v>82</v>
      </c>
      <c r="G228">
        <v>0</v>
      </c>
      <c r="H228">
        <v>2E+20</v>
      </c>
      <c r="I228">
        <v>0</v>
      </c>
      <c r="J228">
        <v>0</v>
      </c>
      <c r="K228">
        <v>12</v>
      </c>
      <c r="L228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10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11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10</v>
      </c>
      <c r="Y228" s="5">
        <f>IF(DiscreteStatsTable[[#This Row],[RepsRequested]]=DiscreteStatsTable[[#This Row],[RepsWithStatObserved]],1,0)</f>
        <v>1</v>
      </c>
    </row>
    <row r="229" spans="1:25" x14ac:dyDescent="0.3">
      <c r="A229" t="s">
        <v>66</v>
      </c>
      <c r="B229" t="s">
        <v>68</v>
      </c>
      <c r="C229">
        <v>7</v>
      </c>
      <c r="D229" t="s">
        <v>89</v>
      </c>
      <c r="E229" t="s">
        <v>83</v>
      </c>
      <c r="F229" t="s">
        <v>82</v>
      </c>
      <c r="G229">
        <v>0</v>
      </c>
      <c r="H229">
        <v>2E+20</v>
      </c>
      <c r="I229">
        <v>0</v>
      </c>
      <c r="J229">
        <v>0</v>
      </c>
      <c r="K229">
        <v>12</v>
      </c>
      <c r="L229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10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11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10</v>
      </c>
      <c r="Y229" s="5">
        <f>IF(DiscreteStatsTable[[#This Row],[RepsRequested]]=DiscreteStatsTable[[#This Row],[RepsWithStatObserved]],1,0)</f>
        <v>1</v>
      </c>
    </row>
    <row r="230" spans="1:25" x14ac:dyDescent="0.3">
      <c r="A230" t="s">
        <v>66</v>
      </c>
      <c r="B230" t="s">
        <v>68</v>
      </c>
      <c r="C230">
        <v>7</v>
      </c>
      <c r="D230" t="s">
        <v>89</v>
      </c>
      <c r="E230" t="s">
        <v>84</v>
      </c>
      <c r="F230" t="s">
        <v>82</v>
      </c>
      <c r="G230">
        <v>39.165607025648796</v>
      </c>
      <c r="H230">
        <v>2E+20</v>
      </c>
      <c r="I230">
        <v>29.531920896885001</v>
      </c>
      <c r="J230">
        <v>50.876929085233499</v>
      </c>
      <c r="K230">
        <v>12</v>
      </c>
      <c r="L230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10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41.480245301861984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6.7551036021783171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33.521703094146403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53.188885435375902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24.599315398531001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78.499597813463097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11</v>
      </c>
      <c r="W230" s="5">
        <f>IF((DiscreteStatsTable[[#This Row],[RepsRequested]]&gt;1),DiscreteStatsTable[[#This Row],[HalfWidth]],DiscreteStatsTable[[#This Row],[BatchMeansHalfWidth]])</f>
        <v>4.8323100123655722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10</v>
      </c>
      <c r="Y230" s="5">
        <f>IF(DiscreteStatsTable[[#This Row],[RepsRequested]]=DiscreteStatsTable[[#This Row],[RepsWithStatObserved]],1,0)</f>
        <v>1</v>
      </c>
    </row>
    <row r="231" spans="1:25" x14ac:dyDescent="0.3">
      <c r="A231" t="s">
        <v>66</v>
      </c>
      <c r="B231" t="s">
        <v>68</v>
      </c>
      <c r="C231">
        <v>7</v>
      </c>
      <c r="D231" t="s">
        <v>89</v>
      </c>
      <c r="E231" t="s">
        <v>85</v>
      </c>
      <c r="F231" t="s">
        <v>82</v>
      </c>
      <c r="G231">
        <v>9</v>
      </c>
      <c r="H231">
        <v>2E+20</v>
      </c>
      <c r="I231">
        <v>9</v>
      </c>
      <c r="J231">
        <v>9</v>
      </c>
      <c r="K231">
        <v>12</v>
      </c>
      <c r="L231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10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9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8.9999999999999893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9.0000000000000302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11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10</v>
      </c>
      <c r="Y231" s="5">
        <f>IF(DiscreteStatsTable[[#This Row],[RepsRequested]]=DiscreteStatsTable[[#This Row],[RepsWithStatObserved]],1,0)</f>
        <v>1</v>
      </c>
    </row>
    <row r="232" spans="1:25" x14ac:dyDescent="0.3">
      <c r="A232" t="s">
        <v>66</v>
      </c>
      <c r="B232" t="s">
        <v>68</v>
      </c>
      <c r="C232">
        <v>7</v>
      </c>
      <c r="D232" t="s">
        <v>89</v>
      </c>
      <c r="E232" t="s">
        <v>86</v>
      </c>
      <c r="F232" t="s">
        <v>82</v>
      </c>
      <c r="G232">
        <v>22.537373616681101</v>
      </c>
      <c r="H232">
        <v>2E+20</v>
      </c>
      <c r="I232">
        <v>17.1700546073236</v>
      </c>
      <c r="J232">
        <v>26.882982725126499</v>
      </c>
      <c r="K232">
        <v>12</v>
      </c>
      <c r="L232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10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21.440206785788853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1.0702499592897796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18.960622719540901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22.776367399095498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13.262616210012901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28.307314565234201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11</v>
      </c>
      <c r="W232" s="5">
        <f>IF((DiscreteStatsTable[[#This Row],[RepsRequested]]&gt;1),DiscreteStatsTable[[#This Row],[HalfWidth]],DiscreteStatsTable[[#This Row],[BatchMeansHalfWidth]])</f>
        <v>0.76561069949276661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10</v>
      </c>
      <c r="Y232" s="5">
        <f>IF(DiscreteStatsTable[[#This Row],[RepsRequested]]=DiscreteStatsTable[[#This Row],[RepsWithStatObserved]],1,0)</f>
        <v>1</v>
      </c>
    </row>
    <row r="233" spans="1:25" x14ac:dyDescent="0.3">
      <c r="A233" t="s">
        <v>66</v>
      </c>
      <c r="B233" t="s">
        <v>68</v>
      </c>
      <c r="C233">
        <v>7</v>
      </c>
      <c r="D233" t="s">
        <v>89</v>
      </c>
      <c r="E233" t="s">
        <v>87</v>
      </c>
      <c r="F233" t="s">
        <v>82</v>
      </c>
      <c r="G233">
        <v>7.6282334089677697</v>
      </c>
      <c r="H233">
        <v>2E+20</v>
      </c>
      <c r="I233">
        <v>0</v>
      </c>
      <c r="J233">
        <v>16.364602659656999</v>
      </c>
      <c r="K233">
        <v>12</v>
      </c>
      <c r="L233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10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11.040038516073164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6.3942476210211643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2.8712742295470899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21.412518036280499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44.831511242791699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11</v>
      </c>
      <c r="W233" s="5">
        <f>IF((DiscreteStatsTable[[#This Row],[RepsRequested]]&gt;1),DiscreteStatsTable[[#This Row],[HalfWidth]],DiscreteStatsTable[[#This Row],[BatchMeansHalfWidth]])</f>
        <v>4.574169194183983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10</v>
      </c>
      <c r="Y233" s="5">
        <f>IF(DiscreteStatsTable[[#This Row],[RepsRequested]]=DiscreteStatsTable[[#This Row],[RepsWithStatObserved]],1,0)</f>
        <v>1</v>
      </c>
    </row>
    <row r="234" spans="1:25" x14ac:dyDescent="0.3">
      <c r="A234" t="s">
        <v>66</v>
      </c>
      <c r="B234" t="s">
        <v>68</v>
      </c>
      <c r="C234">
        <v>8</v>
      </c>
      <c r="D234" t="s">
        <v>89</v>
      </c>
      <c r="E234" t="s">
        <v>81</v>
      </c>
      <c r="F234" t="s">
        <v>82</v>
      </c>
      <c r="G234">
        <v>0</v>
      </c>
      <c r="H234">
        <v>2E+20</v>
      </c>
      <c r="I234">
        <v>0</v>
      </c>
      <c r="J234">
        <v>0</v>
      </c>
      <c r="K234">
        <v>13</v>
      </c>
      <c r="L234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10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11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10</v>
      </c>
      <c r="Y234" s="5">
        <f>IF(DiscreteStatsTable[[#This Row],[RepsRequested]]=DiscreteStatsTable[[#This Row],[RepsWithStatObserved]],1,0)</f>
        <v>1</v>
      </c>
    </row>
    <row r="235" spans="1:25" x14ac:dyDescent="0.3">
      <c r="A235" t="s">
        <v>66</v>
      </c>
      <c r="B235" t="s">
        <v>68</v>
      </c>
      <c r="C235">
        <v>8</v>
      </c>
      <c r="D235" t="s">
        <v>89</v>
      </c>
      <c r="E235" t="s">
        <v>83</v>
      </c>
      <c r="F235" t="s">
        <v>82</v>
      </c>
      <c r="G235">
        <v>0</v>
      </c>
      <c r="H235">
        <v>2E+20</v>
      </c>
      <c r="I235">
        <v>0</v>
      </c>
      <c r="J235">
        <v>0</v>
      </c>
      <c r="K235">
        <v>13</v>
      </c>
      <c r="L235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10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11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10</v>
      </c>
      <c r="Y235" s="5">
        <f>IF(DiscreteStatsTable[[#This Row],[RepsRequested]]=DiscreteStatsTable[[#This Row],[RepsWithStatObserved]],1,0)</f>
        <v>1</v>
      </c>
    </row>
    <row r="236" spans="1:25" x14ac:dyDescent="0.3">
      <c r="A236" t="s">
        <v>66</v>
      </c>
      <c r="B236" t="s">
        <v>68</v>
      </c>
      <c r="C236">
        <v>8</v>
      </c>
      <c r="D236" t="s">
        <v>89</v>
      </c>
      <c r="E236" t="s">
        <v>84</v>
      </c>
      <c r="F236" t="s">
        <v>82</v>
      </c>
      <c r="G236">
        <v>53.188885435375902</v>
      </c>
      <c r="H236">
        <v>2E+20</v>
      </c>
      <c r="I236">
        <v>37.071623824875502</v>
      </c>
      <c r="J236">
        <v>67.7734394757898</v>
      </c>
      <c r="K236">
        <v>13</v>
      </c>
      <c r="L236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10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41.480245301861984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6.7551036021783171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33.521703094146403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53.188885435375902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24.599315398531001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78.499597813463097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11</v>
      </c>
      <c r="W236" s="5">
        <f>IF((DiscreteStatsTable[[#This Row],[RepsRequested]]&gt;1),DiscreteStatsTable[[#This Row],[HalfWidth]],DiscreteStatsTable[[#This Row],[BatchMeansHalfWidth]])</f>
        <v>4.8323100123655722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10</v>
      </c>
      <c r="Y236" s="5">
        <f>IF(DiscreteStatsTable[[#This Row],[RepsRequested]]=DiscreteStatsTable[[#This Row],[RepsWithStatObserved]],1,0)</f>
        <v>1</v>
      </c>
    </row>
    <row r="237" spans="1:25" x14ac:dyDescent="0.3">
      <c r="A237" t="s">
        <v>66</v>
      </c>
      <c r="B237" t="s">
        <v>68</v>
      </c>
      <c r="C237">
        <v>8</v>
      </c>
      <c r="D237" t="s">
        <v>89</v>
      </c>
      <c r="E237" t="s">
        <v>85</v>
      </c>
      <c r="F237" t="s">
        <v>82</v>
      </c>
      <c r="G237">
        <v>9</v>
      </c>
      <c r="H237">
        <v>2E+20</v>
      </c>
      <c r="I237">
        <v>9</v>
      </c>
      <c r="J237">
        <v>9.0000000000000302</v>
      </c>
      <c r="K237">
        <v>13</v>
      </c>
      <c r="L237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10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9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8.9999999999999893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9.0000000000000302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11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10</v>
      </c>
      <c r="Y237" s="5">
        <f>IF(DiscreteStatsTable[[#This Row],[RepsRequested]]=DiscreteStatsTable[[#This Row],[RepsWithStatObserved]],1,0)</f>
        <v>1</v>
      </c>
    </row>
    <row r="238" spans="1:25" x14ac:dyDescent="0.3">
      <c r="A238" t="s">
        <v>66</v>
      </c>
      <c r="B238" t="s">
        <v>68</v>
      </c>
      <c r="C238">
        <v>8</v>
      </c>
      <c r="D238" t="s">
        <v>89</v>
      </c>
      <c r="E238" t="s">
        <v>86</v>
      </c>
      <c r="F238" t="s">
        <v>82</v>
      </c>
      <c r="G238">
        <v>22.776367399095498</v>
      </c>
      <c r="H238">
        <v>2E+20</v>
      </c>
      <c r="I238">
        <v>17.359750298872498</v>
      </c>
      <c r="J238">
        <v>26.319898319236199</v>
      </c>
      <c r="K238">
        <v>13</v>
      </c>
      <c r="L238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10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21.440206785788853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1.0702499592897796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18.960622719540901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22.776367399095498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13.262616210012901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28.307314565234201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11</v>
      </c>
      <c r="W238" s="5">
        <f>IF((DiscreteStatsTable[[#This Row],[RepsRequested]]&gt;1),DiscreteStatsTable[[#This Row],[HalfWidth]],DiscreteStatsTable[[#This Row],[BatchMeansHalfWidth]])</f>
        <v>0.76561069949276661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10</v>
      </c>
      <c r="Y238" s="5">
        <f>IF(DiscreteStatsTable[[#This Row],[RepsRequested]]=DiscreteStatsTable[[#This Row],[RepsWithStatObserved]],1,0)</f>
        <v>1</v>
      </c>
    </row>
    <row r="239" spans="1:25" x14ac:dyDescent="0.3">
      <c r="A239" t="s">
        <v>66</v>
      </c>
      <c r="B239" t="s">
        <v>68</v>
      </c>
      <c r="C239">
        <v>8</v>
      </c>
      <c r="D239" t="s">
        <v>89</v>
      </c>
      <c r="E239" t="s">
        <v>87</v>
      </c>
      <c r="F239" t="s">
        <v>82</v>
      </c>
      <c r="G239">
        <v>21.412518036280499</v>
      </c>
      <c r="H239">
        <v>2E+20</v>
      </c>
      <c r="I239">
        <v>6.6173486872825196</v>
      </c>
      <c r="J239">
        <v>36.437610785637197</v>
      </c>
      <c r="K239">
        <v>13</v>
      </c>
      <c r="L239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10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11.040038516073164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6.3942476210211643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2.8712742295470899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21.412518036280499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44.831511242791699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11</v>
      </c>
      <c r="W239" s="5">
        <f>IF((DiscreteStatsTable[[#This Row],[RepsRequested]]&gt;1),DiscreteStatsTable[[#This Row],[HalfWidth]],DiscreteStatsTable[[#This Row],[BatchMeansHalfWidth]])</f>
        <v>4.574169194183983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10</v>
      </c>
      <c r="Y239" s="5">
        <f>IF(DiscreteStatsTable[[#This Row],[RepsRequested]]=DiscreteStatsTable[[#This Row],[RepsWithStatObserved]],1,0)</f>
        <v>1</v>
      </c>
    </row>
    <row r="240" spans="1:25" x14ac:dyDescent="0.3">
      <c r="A240" t="s">
        <v>66</v>
      </c>
      <c r="B240" t="s">
        <v>68</v>
      </c>
      <c r="C240">
        <v>9</v>
      </c>
      <c r="D240" t="s">
        <v>89</v>
      </c>
      <c r="E240" t="s">
        <v>81</v>
      </c>
      <c r="F240" t="s">
        <v>82</v>
      </c>
      <c r="G240">
        <v>0</v>
      </c>
      <c r="H240">
        <v>2E+20</v>
      </c>
      <c r="I240">
        <v>0</v>
      </c>
      <c r="J240">
        <v>0</v>
      </c>
      <c r="K240">
        <v>10</v>
      </c>
      <c r="L240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10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11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10</v>
      </c>
      <c r="Y240" s="5">
        <f>IF(DiscreteStatsTable[[#This Row],[RepsRequested]]=DiscreteStatsTable[[#This Row],[RepsWithStatObserved]],1,0)</f>
        <v>1</v>
      </c>
    </row>
    <row r="241" spans="1:25" x14ac:dyDescent="0.3">
      <c r="A241" t="s">
        <v>66</v>
      </c>
      <c r="B241" t="s">
        <v>68</v>
      </c>
      <c r="C241">
        <v>9</v>
      </c>
      <c r="D241" t="s">
        <v>89</v>
      </c>
      <c r="E241" t="s">
        <v>83</v>
      </c>
      <c r="F241" t="s">
        <v>82</v>
      </c>
      <c r="G241">
        <v>0</v>
      </c>
      <c r="H241">
        <v>2E+20</v>
      </c>
      <c r="I241">
        <v>0</v>
      </c>
      <c r="J241">
        <v>0</v>
      </c>
      <c r="K241">
        <v>10</v>
      </c>
      <c r="L241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10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11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10</v>
      </c>
      <c r="Y241" s="5">
        <f>IF(DiscreteStatsTable[[#This Row],[RepsRequested]]=DiscreteStatsTable[[#This Row],[RepsWithStatObserved]],1,0)</f>
        <v>1</v>
      </c>
    </row>
    <row r="242" spans="1:25" x14ac:dyDescent="0.3">
      <c r="A242" t="s">
        <v>66</v>
      </c>
      <c r="B242" t="s">
        <v>68</v>
      </c>
      <c r="C242">
        <v>9</v>
      </c>
      <c r="D242" t="s">
        <v>89</v>
      </c>
      <c r="E242" t="s">
        <v>84</v>
      </c>
      <c r="F242" t="s">
        <v>82</v>
      </c>
      <c r="G242">
        <v>36.744302882510802</v>
      </c>
      <c r="H242">
        <v>2E+20</v>
      </c>
      <c r="I242">
        <v>24.599315398531001</v>
      </c>
      <c r="J242">
        <v>65.679122643966096</v>
      </c>
      <c r="K242">
        <v>10</v>
      </c>
      <c r="L242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10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41.480245301861984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6.7551036021783171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33.521703094146403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53.188885435375902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24.599315398531001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78.499597813463097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11</v>
      </c>
      <c r="W242" s="5">
        <f>IF((DiscreteStatsTable[[#This Row],[RepsRequested]]&gt;1),DiscreteStatsTable[[#This Row],[HalfWidth]],DiscreteStatsTable[[#This Row],[BatchMeansHalfWidth]])</f>
        <v>4.8323100123655722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10</v>
      </c>
      <c r="Y242" s="5">
        <f>IF(DiscreteStatsTable[[#This Row],[RepsRequested]]=DiscreteStatsTable[[#This Row],[RepsWithStatObserved]],1,0)</f>
        <v>1</v>
      </c>
    </row>
    <row r="243" spans="1:25" x14ac:dyDescent="0.3">
      <c r="A243" t="s">
        <v>66</v>
      </c>
      <c r="B243" t="s">
        <v>68</v>
      </c>
      <c r="C243">
        <v>9</v>
      </c>
      <c r="D243" t="s">
        <v>89</v>
      </c>
      <c r="E243" t="s">
        <v>85</v>
      </c>
      <c r="F243" t="s">
        <v>82</v>
      </c>
      <c r="G243">
        <v>9</v>
      </c>
      <c r="H243">
        <v>2E+20</v>
      </c>
      <c r="I243">
        <v>9</v>
      </c>
      <c r="J243">
        <v>9</v>
      </c>
      <c r="K243">
        <v>10</v>
      </c>
      <c r="L243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10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9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8.9999999999999893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9.0000000000000302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11</v>
      </c>
      <c r="W243" s="5">
        <f>IF((DiscreteStatsTable[[#This Row],[RepsRequested]]&gt;1),DiscreteStatsTable[[#This Row],[HalfWidth]],DiscreteStatsTable[[#This Row],[BatchMeansHalfWidth]])</f>
        <v>0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10</v>
      </c>
      <c r="Y243" s="5">
        <f>IF(DiscreteStatsTable[[#This Row],[RepsRequested]]=DiscreteStatsTable[[#This Row],[RepsWithStatObserved]],1,0)</f>
        <v>1</v>
      </c>
    </row>
    <row r="244" spans="1:25" x14ac:dyDescent="0.3">
      <c r="A244" t="s">
        <v>66</v>
      </c>
      <c r="B244" t="s">
        <v>68</v>
      </c>
      <c r="C244">
        <v>9</v>
      </c>
      <c r="D244" t="s">
        <v>89</v>
      </c>
      <c r="E244" t="s">
        <v>86</v>
      </c>
      <c r="F244" t="s">
        <v>82</v>
      </c>
      <c r="G244">
        <v>20.976172771748502</v>
      </c>
      <c r="H244">
        <v>2E+20</v>
      </c>
      <c r="I244">
        <v>15.599315398530999</v>
      </c>
      <c r="J244">
        <v>26.8685728013484</v>
      </c>
      <c r="K244">
        <v>10</v>
      </c>
      <c r="L244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10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21.440206785788853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1.0702499592897796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18.960622719540901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22.776367399095498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13.262616210012901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28.307314565234201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11</v>
      </c>
      <c r="W244" s="5">
        <f>IF((DiscreteStatsTable[[#This Row],[RepsRequested]]&gt;1),DiscreteStatsTable[[#This Row],[HalfWidth]],DiscreteStatsTable[[#This Row],[BatchMeansHalfWidth]])</f>
        <v>0.76561069949276661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10</v>
      </c>
      <c r="Y244" s="5">
        <f>IF(DiscreteStatsTable[[#This Row],[RepsRequested]]=DiscreteStatsTable[[#This Row],[RepsWithStatObserved]],1,0)</f>
        <v>1</v>
      </c>
    </row>
    <row r="245" spans="1:25" x14ac:dyDescent="0.3">
      <c r="A245" t="s">
        <v>66</v>
      </c>
      <c r="B245" t="s">
        <v>68</v>
      </c>
      <c r="C245">
        <v>9</v>
      </c>
      <c r="D245" t="s">
        <v>89</v>
      </c>
      <c r="E245" t="s">
        <v>87</v>
      </c>
      <c r="F245" t="s">
        <v>82</v>
      </c>
      <c r="G245">
        <v>6.7681301107623</v>
      </c>
      <c r="H245">
        <v>2E+20</v>
      </c>
      <c r="I245">
        <v>0</v>
      </c>
      <c r="J245">
        <v>34.524184131639203</v>
      </c>
      <c r="K245">
        <v>10</v>
      </c>
      <c r="L245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10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11.040038516073164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6.3942476210211643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2.8712742295470899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21.412518036280499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44.831511242791699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11</v>
      </c>
      <c r="W245" s="5">
        <f>IF((DiscreteStatsTable[[#This Row],[RepsRequested]]&gt;1),DiscreteStatsTable[[#This Row],[HalfWidth]],DiscreteStatsTable[[#This Row],[BatchMeansHalfWidth]])</f>
        <v>4.574169194183983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10</v>
      </c>
      <c r="Y245" s="5">
        <f>IF(DiscreteStatsTable[[#This Row],[RepsRequested]]=DiscreteStatsTable[[#This Row],[RepsWithStatObserved]],1,0)</f>
        <v>1</v>
      </c>
    </row>
    <row r="246" spans="1:25" x14ac:dyDescent="0.3">
      <c r="A246" t="s">
        <v>66</v>
      </c>
      <c r="B246" t="s">
        <v>68</v>
      </c>
      <c r="C246">
        <v>10</v>
      </c>
      <c r="D246" t="s">
        <v>89</v>
      </c>
      <c r="E246" t="s">
        <v>81</v>
      </c>
      <c r="F246" t="s">
        <v>82</v>
      </c>
      <c r="G246">
        <v>0</v>
      </c>
      <c r="H246">
        <v>2E+20</v>
      </c>
      <c r="I246">
        <v>0</v>
      </c>
      <c r="J246">
        <v>0</v>
      </c>
      <c r="K246">
        <v>8</v>
      </c>
      <c r="L246" s="5" t="str">
        <f>DiscreteStatsTable[[#This Row],[ProjectName]]&amp;DiscreteStatsTable[[#This Row],[Name]]&amp;DiscreteStatsTable[[#This Row],[Type]]&amp;DiscreteStatsTable[[#This Row],[Source]]</f>
        <v>Unnamed ProjectType3NVA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10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11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10</v>
      </c>
      <c r="Y246" s="5">
        <f>IF(DiscreteStatsTable[[#This Row],[RepsRequested]]=DiscreteStatsTable[[#This Row],[RepsWithStatObserved]],1,0)</f>
        <v>1</v>
      </c>
    </row>
    <row r="247" spans="1:25" x14ac:dyDescent="0.3">
      <c r="A247" t="s">
        <v>66</v>
      </c>
      <c r="B247" t="s">
        <v>68</v>
      </c>
      <c r="C247">
        <v>10</v>
      </c>
      <c r="D247" t="s">
        <v>89</v>
      </c>
      <c r="E247" t="s">
        <v>83</v>
      </c>
      <c r="F247" t="s">
        <v>82</v>
      </c>
      <c r="G247">
        <v>0</v>
      </c>
      <c r="H247">
        <v>2E+20</v>
      </c>
      <c r="I247">
        <v>0</v>
      </c>
      <c r="J247">
        <v>0</v>
      </c>
      <c r="K247">
        <v>8</v>
      </c>
      <c r="L247" s="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10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11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10</v>
      </c>
      <c r="Y247" s="5">
        <f>IF(DiscreteStatsTable[[#This Row],[RepsRequested]]=DiscreteStatsTable[[#This Row],[RepsWithStatObserved]],1,0)</f>
        <v>1</v>
      </c>
    </row>
    <row r="248" spans="1:25" x14ac:dyDescent="0.3">
      <c r="A248" t="s">
        <v>66</v>
      </c>
      <c r="B248" t="s">
        <v>68</v>
      </c>
      <c r="C248">
        <v>10</v>
      </c>
      <c r="D248" t="s">
        <v>89</v>
      </c>
      <c r="E248" t="s">
        <v>84</v>
      </c>
      <c r="F248" t="s">
        <v>82</v>
      </c>
      <c r="G248">
        <v>36.818236382697798</v>
      </c>
      <c r="H248">
        <v>2E+20</v>
      </c>
      <c r="I248">
        <v>26.725129481114099</v>
      </c>
      <c r="J248">
        <v>54.007834102682303</v>
      </c>
      <c r="K248">
        <v>8</v>
      </c>
      <c r="L248" s="5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10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41.480245301861984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6.7551036021783171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4.8323100123655722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33.521703094146403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53.188885435375902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24.599315398531001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78.499597813463097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11</v>
      </c>
      <c r="W248" s="5">
        <f>IF((DiscreteStatsTable[[#This Row],[RepsRequested]]&gt;1),DiscreteStatsTable[[#This Row],[HalfWidth]],DiscreteStatsTable[[#This Row],[BatchMeansHalfWidth]])</f>
        <v>4.8323100123655722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10</v>
      </c>
      <c r="Y248" s="5">
        <f>IF(DiscreteStatsTable[[#This Row],[RepsRequested]]=DiscreteStatsTable[[#This Row],[RepsWithStatObserved]],1,0)</f>
        <v>1</v>
      </c>
    </row>
    <row r="249" spans="1:25" x14ac:dyDescent="0.3">
      <c r="A249" t="s">
        <v>66</v>
      </c>
      <c r="B249" t="s">
        <v>68</v>
      </c>
      <c r="C249">
        <v>10</v>
      </c>
      <c r="D249" t="s">
        <v>89</v>
      </c>
      <c r="E249" t="s">
        <v>85</v>
      </c>
      <c r="F249" t="s">
        <v>82</v>
      </c>
      <c r="G249">
        <v>9</v>
      </c>
      <c r="H249">
        <v>2E+20</v>
      </c>
      <c r="I249">
        <v>9</v>
      </c>
      <c r="J249">
        <v>9</v>
      </c>
      <c r="K249">
        <v>8</v>
      </c>
      <c r="L249" s="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10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9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8.9999999999999893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9.0000000000000302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11</v>
      </c>
      <c r="W249" s="5">
        <f>IF((DiscreteStatsTable[[#This Row],[RepsRequested]]&gt;1),DiscreteStatsTable[[#This Row],[HalfWidth]],DiscreteStatsTable[[#This Row],[BatchMeansHalfWidth]])</f>
        <v>0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10</v>
      </c>
      <c r="Y249" s="5">
        <f>IF(DiscreteStatsTable[[#This Row],[RepsRequested]]=DiscreteStatsTable[[#This Row],[RepsWithStatObserved]],1,0)</f>
        <v>1</v>
      </c>
    </row>
    <row r="250" spans="1:25" x14ac:dyDescent="0.3">
      <c r="A250" t="s">
        <v>66</v>
      </c>
      <c r="B250" t="s">
        <v>68</v>
      </c>
      <c r="C250">
        <v>10</v>
      </c>
      <c r="D250" t="s">
        <v>89</v>
      </c>
      <c r="E250" t="s">
        <v>86</v>
      </c>
      <c r="F250" t="s">
        <v>82</v>
      </c>
      <c r="G250">
        <v>21.551830986818501</v>
      </c>
      <c r="H250">
        <v>2E+20</v>
      </c>
      <c r="I250">
        <v>16.025826485760501</v>
      </c>
      <c r="J250">
        <v>28.307314565234201</v>
      </c>
      <c r="K250">
        <v>8</v>
      </c>
      <c r="L250" s="5" t="str">
        <f>DiscreteStatsTable[[#This Row],[ProjectName]]&amp;DiscreteStatsTable[[#This Row],[Name]]&amp;DiscreteStatsTable[[#This Row],[Type]]&amp;DiscreteStatsTable[[#This Row],[Source]]</f>
        <v>Unnamed ProjectType3VA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10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21.440206785788853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1.0702499592897796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0.76561069949276661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18.960622719540901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22.776367399095498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13.262616210012901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28.307314565234201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11</v>
      </c>
      <c r="W250" s="5">
        <f>IF((DiscreteStatsTable[[#This Row],[RepsRequested]]&gt;1),DiscreteStatsTable[[#This Row],[HalfWidth]],DiscreteStatsTable[[#This Row],[BatchMeansHalfWidth]])</f>
        <v>0.76561069949276661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10</v>
      </c>
      <c r="Y250" s="5">
        <f>IF(DiscreteStatsTable[[#This Row],[RepsRequested]]=DiscreteStatsTable[[#This Row],[RepsWithStatObserved]],1,0)</f>
        <v>1</v>
      </c>
    </row>
    <row r="251" spans="1:25" x14ac:dyDescent="0.3">
      <c r="A251" t="s">
        <v>66</v>
      </c>
      <c r="B251" t="s">
        <v>68</v>
      </c>
      <c r="C251">
        <v>10</v>
      </c>
      <c r="D251" t="s">
        <v>89</v>
      </c>
      <c r="E251" t="s">
        <v>87</v>
      </c>
      <c r="F251" t="s">
        <v>82</v>
      </c>
      <c r="G251">
        <v>6.26640539587929</v>
      </c>
      <c r="H251">
        <v>2E+20</v>
      </c>
      <c r="I251">
        <v>0</v>
      </c>
      <c r="J251">
        <v>16.700519537448098</v>
      </c>
      <c r="K251">
        <v>8</v>
      </c>
      <c r="L251" s="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10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11.040038516073164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6.3942476210211643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4.574169194183983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2.8712742295470899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21.412518036280499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44.831511242791699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11</v>
      </c>
      <c r="W251" s="5">
        <f>IF((DiscreteStatsTable[[#This Row],[RepsRequested]]&gt;1),DiscreteStatsTable[[#This Row],[HalfWidth]],DiscreteStatsTable[[#This Row],[BatchMeansHalfWidth]])</f>
        <v>4.574169194183983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10</v>
      </c>
      <c r="Y251" s="5">
        <f>IF(DiscreteStatsTable[[#This Row],[RepsRequested]]=DiscreteStatsTable[[#This Row],[RepsWithStatObserved]],1,0)</f>
        <v>1</v>
      </c>
    </row>
    <row r="252" spans="1:25" x14ac:dyDescent="0.3">
      <c r="A252" t="s">
        <v>66</v>
      </c>
      <c r="B252" t="s">
        <v>68</v>
      </c>
      <c r="C252">
        <v>1</v>
      </c>
      <c r="D252" t="s">
        <v>90</v>
      </c>
      <c r="E252" t="s">
        <v>81</v>
      </c>
      <c r="F252" t="s">
        <v>82</v>
      </c>
      <c r="G252">
        <v>0</v>
      </c>
      <c r="H252">
        <v>2E+20</v>
      </c>
      <c r="I252">
        <v>0</v>
      </c>
      <c r="J252">
        <v>0</v>
      </c>
      <c r="K252">
        <v>12</v>
      </c>
      <c r="L252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10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11.4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10</v>
      </c>
      <c r="Y252" s="5">
        <f>IF(DiscreteStatsTable[[#This Row],[RepsRequested]]=DiscreteStatsTable[[#This Row],[RepsWithStatObserved]],1,0)</f>
        <v>1</v>
      </c>
    </row>
    <row r="253" spans="1:25" x14ac:dyDescent="0.3">
      <c r="A253" t="s">
        <v>66</v>
      </c>
      <c r="B253" t="s">
        <v>68</v>
      </c>
      <c r="C253">
        <v>1</v>
      </c>
      <c r="D253" t="s">
        <v>90</v>
      </c>
      <c r="E253" t="s">
        <v>83</v>
      </c>
      <c r="F253" t="s">
        <v>82</v>
      </c>
      <c r="G253">
        <v>0</v>
      </c>
      <c r="H253">
        <v>2E+20</v>
      </c>
      <c r="I253">
        <v>0</v>
      </c>
      <c r="J253">
        <v>0</v>
      </c>
      <c r="K253">
        <v>12</v>
      </c>
      <c r="L253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10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11.4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10</v>
      </c>
      <c r="Y253" s="5">
        <f>IF(DiscreteStatsTable[[#This Row],[RepsRequested]]=DiscreteStatsTable[[#This Row],[RepsWithStatObserved]],1,0)</f>
        <v>1</v>
      </c>
    </row>
    <row r="254" spans="1:25" x14ac:dyDescent="0.3">
      <c r="A254" t="s">
        <v>66</v>
      </c>
      <c r="B254" t="s">
        <v>68</v>
      </c>
      <c r="C254">
        <v>1</v>
      </c>
      <c r="D254" t="s">
        <v>90</v>
      </c>
      <c r="E254" t="s">
        <v>84</v>
      </c>
      <c r="F254" t="s">
        <v>82</v>
      </c>
      <c r="G254">
        <v>57.852123951402099</v>
      </c>
      <c r="H254">
        <v>2E+20</v>
      </c>
      <c r="I254">
        <v>33.843201795533702</v>
      </c>
      <c r="J254">
        <v>94.196845554717797</v>
      </c>
      <c r="K254">
        <v>12</v>
      </c>
      <c r="L254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10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50.580256818777187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5.7250108439810763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43.309307456693901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57.852123951402099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30.9310144170956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96.993071741156299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11.4</v>
      </c>
      <c r="W254" s="5">
        <f>IF((DiscreteStatsTable[[#This Row],[RepsRequested]]&gt;1),DiscreteStatsTable[[#This Row],[HalfWidth]],DiscreteStatsTable[[#This Row],[BatchMeansHalfWidth]])</f>
        <v>4.0954260439988062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10</v>
      </c>
      <c r="Y254" s="5">
        <f>IF(DiscreteStatsTable[[#This Row],[RepsRequested]]=DiscreteStatsTable[[#This Row],[RepsWithStatObserved]],1,0)</f>
        <v>1</v>
      </c>
    </row>
    <row r="255" spans="1:25" x14ac:dyDescent="0.3">
      <c r="A255" t="s">
        <v>66</v>
      </c>
      <c r="B255" t="s">
        <v>68</v>
      </c>
      <c r="C255">
        <v>1</v>
      </c>
      <c r="D255" t="s">
        <v>90</v>
      </c>
      <c r="E255" t="s">
        <v>85</v>
      </c>
      <c r="F255" t="s">
        <v>82</v>
      </c>
      <c r="G255">
        <v>9</v>
      </c>
      <c r="H255">
        <v>2E+20</v>
      </c>
      <c r="I255">
        <v>9</v>
      </c>
      <c r="J255">
        <v>9</v>
      </c>
      <c r="K255">
        <v>12</v>
      </c>
      <c r="L255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10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9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8.9999999999999893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11.4</v>
      </c>
      <c r="W255" s="5">
        <f>IF((DiscreteStatsTable[[#This Row],[RepsRequested]]&gt;1),DiscreteStatsTable[[#This Row],[HalfWidth]],DiscreteStatsTable[[#This Row],[BatchMeansHalfWidth]])</f>
        <v>0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10</v>
      </c>
      <c r="Y255" s="5">
        <f>IF(DiscreteStatsTable[[#This Row],[RepsRequested]]=DiscreteStatsTable[[#This Row],[RepsWithStatObserved]],1,0)</f>
        <v>1</v>
      </c>
    </row>
    <row r="256" spans="1:25" x14ac:dyDescent="0.3">
      <c r="A256" t="s">
        <v>66</v>
      </c>
      <c r="B256" t="s">
        <v>68</v>
      </c>
      <c r="C256">
        <v>1</v>
      </c>
      <c r="D256" t="s">
        <v>90</v>
      </c>
      <c r="E256" t="s">
        <v>86</v>
      </c>
      <c r="F256" t="s">
        <v>82</v>
      </c>
      <c r="G256">
        <v>24.5828859751153</v>
      </c>
      <c r="H256">
        <v>2E+20</v>
      </c>
      <c r="I256">
        <v>20.713653818897399</v>
      </c>
      <c r="J256">
        <v>27.700956810356601</v>
      </c>
      <c r="K256">
        <v>12</v>
      </c>
      <c r="L256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10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24.06400550570951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23.230521307253401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25.169251972104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17.9684813596824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30.3404073957776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11.4</v>
      </c>
      <c r="W256" s="5">
        <f>IF((DiscreteStatsTable[[#This Row],[RepsRequested]]&gt;1),DiscreteStatsTable[[#This Row],[HalfWidth]],DiscreteStatsTable[[#This Row],[BatchMeansHalfWidth]])</f>
        <v>0.44633984307119945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10</v>
      </c>
      <c r="Y256" s="5">
        <f>IF(DiscreteStatsTable[[#This Row],[RepsRequested]]=DiscreteStatsTable[[#This Row],[RepsWithStatObserved]],1,0)</f>
        <v>1</v>
      </c>
    </row>
    <row r="257" spans="1:25" x14ac:dyDescent="0.3">
      <c r="A257" t="s">
        <v>66</v>
      </c>
      <c r="B257" t="s">
        <v>68</v>
      </c>
      <c r="C257">
        <v>1</v>
      </c>
      <c r="D257" t="s">
        <v>90</v>
      </c>
      <c r="E257" t="s">
        <v>87</v>
      </c>
      <c r="F257" t="s">
        <v>82</v>
      </c>
      <c r="G257">
        <v>24.269237976286799</v>
      </c>
      <c r="H257">
        <v>2E+20</v>
      </c>
      <c r="I257">
        <v>2.92180273438905</v>
      </c>
      <c r="J257">
        <v>61.623563647439497</v>
      </c>
      <c r="K257">
        <v>12</v>
      </c>
      <c r="L257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10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17.516251313067688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5.7722479534784288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9.7059079475153691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24.269237976286799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65.514510493787597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11.4</v>
      </c>
      <c r="W257" s="5">
        <f>IF((DiscreteStatsTable[[#This Row],[RepsRequested]]&gt;1),DiscreteStatsTable[[#This Row],[HalfWidth]],DiscreteStatsTable[[#This Row],[BatchMeansHalfWidth]])</f>
        <v>4.1292174364958303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10</v>
      </c>
      <c r="Y257" s="5">
        <f>IF(DiscreteStatsTable[[#This Row],[RepsRequested]]=DiscreteStatsTable[[#This Row],[RepsWithStatObserved]],1,0)</f>
        <v>1</v>
      </c>
    </row>
    <row r="258" spans="1:25" x14ac:dyDescent="0.3">
      <c r="A258" t="s">
        <v>66</v>
      </c>
      <c r="B258" t="s">
        <v>68</v>
      </c>
      <c r="C258">
        <v>2</v>
      </c>
      <c r="D258" t="s">
        <v>90</v>
      </c>
      <c r="E258" t="s">
        <v>81</v>
      </c>
      <c r="F258" t="s">
        <v>82</v>
      </c>
      <c r="G258">
        <v>0</v>
      </c>
      <c r="H258">
        <v>2E+20</v>
      </c>
      <c r="I258">
        <v>0</v>
      </c>
      <c r="J258">
        <v>0</v>
      </c>
      <c r="K258">
        <v>10</v>
      </c>
      <c r="L258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10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11.4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10</v>
      </c>
      <c r="Y258" s="5">
        <f>IF(DiscreteStatsTable[[#This Row],[RepsRequested]]=DiscreteStatsTable[[#This Row],[RepsWithStatObserved]],1,0)</f>
        <v>1</v>
      </c>
    </row>
    <row r="259" spans="1:25" x14ac:dyDescent="0.3">
      <c r="A259" t="s">
        <v>66</v>
      </c>
      <c r="B259" t="s">
        <v>68</v>
      </c>
      <c r="C259">
        <v>2</v>
      </c>
      <c r="D259" t="s">
        <v>90</v>
      </c>
      <c r="E259" t="s">
        <v>83</v>
      </c>
      <c r="F259" t="s">
        <v>82</v>
      </c>
      <c r="G259">
        <v>0</v>
      </c>
      <c r="H259">
        <v>2E+20</v>
      </c>
      <c r="I259">
        <v>0</v>
      </c>
      <c r="J259">
        <v>0</v>
      </c>
      <c r="K259">
        <v>10</v>
      </c>
      <c r="L259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10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11.4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10</v>
      </c>
      <c r="Y259" s="5">
        <f>IF(DiscreteStatsTable[[#This Row],[RepsRequested]]=DiscreteStatsTable[[#This Row],[RepsWithStatObserved]],1,0)</f>
        <v>1</v>
      </c>
    </row>
    <row r="260" spans="1:25" x14ac:dyDescent="0.3">
      <c r="A260" t="s">
        <v>66</v>
      </c>
      <c r="B260" t="s">
        <v>68</v>
      </c>
      <c r="C260">
        <v>2</v>
      </c>
      <c r="D260" t="s">
        <v>90</v>
      </c>
      <c r="E260" t="s">
        <v>84</v>
      </c>
      <c r="F260" t="s">
        <v>82</v>
      </c>
      <c r="G260">
        <v>45.086861905457503</v>
      </c>
      <c r="H260">
        <v>2E+20</v>
      </c>
      <c r="I260">
        <v>34.051865766180299</v>
      </c>
      <c r="J260">
        <v>59.570387894475999</v>
      </c>
      <c r="K260">
        <v>10</v>
      </c>
      <c r="L260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10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50.580256818777187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5.7250108439810763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43.309307456693901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57.852123951402099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30.9310144170956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96.993071741156299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11.4</v>
      </c>
      <c r="W260" s="5">
        <f>IF((DiscreteStatsTable[[#This Row],[RepsRequested]]&gt;1),DiscreteStatsTable[[#This Row],[HalfWidth]],DiscreteStatsTable[[#This Row],[BatchMeansHalfWidth]])</f>
        <v>4.0954260439988062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10</v>
      </c>
      <c r="Y260" s="5">
        <f>IF(DiscreteStatsTable[[#This Row],[RepsRequested]]=DiscreteStatsTable[[#This Row],[RepsWithStatObserved]],1,0)</f>
        <v>1</v>
      </c>
    </row>
    <row r="261" spans="1:25" x14ac:dyDescent="0.3">
      <c r="A261" t="s">
        <v>66</v>
      </c>
      <c r="B261" t="s">
        <v>68</v>
      </c>
      <c r="C261">
        <v>2</v>
      </c>
      <c r="D261" t="s">
        <v>90</v>
      </c>
      <c r="E261" t="s">
        <v>85</v>
      </c>
      <c r="F261" t="s">
        <v>82</v>
      </c>
      <c r="G261">
        <v>9</v>
      </c>
      <c r="H261">
        <v>2E+20</v>
      </c>
      <c r="I261">
        <v>9</v>
      </c>
      <c r="J261">
        <v>9</v>
      </c>
      <c r="K261">
        <v>10</v>
      </c>
      <c r="L261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10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9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8.9999999999999893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11.4</v>
      </c>
      <c r="W261" s="5">
        <f>IF((DiscreteStatsTable[[#This Row],[RepsRequested]]&gt;1),DiscreteStatsTable[[#This Row],[HalfWidth]],DiscreteStatsTable[[#This Row],[BatchMeansHalfWidth]])</f>
        <v>0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10</v>
      </c>
      <c r="Y261" s="5">
        <f>IF(DiscreteStatsTable[[#This Row],[RepsRequested]]=DiscreteStatsTable[[#This Row],[RepsWithStatObserved]],1,0)</f>
        <v>1</v>
      </c>
    </row>
    <row r="262" spans="1:25" x14ac:dyDescent="0.3">
      <c r="A262" t="s">
        <v>66</v>
      </c>
      <c r="B262" t="s">
        <v>68</v>
      </c>
      <c r="C262">
        <v>2</v>
      </c>
      <c r="D262" t="s">
        <v>90</v>
      </c>
      <c r="E262" t="s">
        <v>86</v>
      </c>
      <c r="F262" t="s">
        <v>82</v>
      </c>
      <c r="G262">
        <v>24.459714659702001</v>
      </c>
      <c r="H262">
        <v>2E+20</v>
      </c>
      <c r="I262">
        <v>20.527242244665</v>
      </c>
      <c r="J262">
        <v>28.068007005443398</v>
      </c>
      <c r="K262">
        <v>10</v>
      </c>
      <c r="L262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10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24.06400550570951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23.230521307253401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25.169251972104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17.9684813596824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30.3404073957776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11.4</v>
      </c>
      <c r="W262" s="5">
        <f>IF((DiscreteStatsTable[[#This Row],[RepsRequested]]&gt;1),DiscreteStatsTable[[#This Row],[HalfWidth]],DiscreteStatsTable[[#This Row],[BatchMeansHalfWidth]])</f>
        <v>0.44633984307119945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10</v>
      </c>
      <c r="Y262" s="5">
        <f>IF(DiscreteStatsTable[[#This Row],[RepsRequested]]=DiscreteStatsTable[[#This Row],[RepsWithStatObserved]],1,0)</f>
        <v>1</v>
      </c>
    </row>
    <row r="263" spans="1:25" x14ac:dyDescent="0.3">
      <c r="A263" t="s">
        <v>66</v>
      </c>
      <c r="B263" t="s">
        <v>68</v>
      </c>
      <c r="C263">
        <v>2</v>
      </c>
      <c r="D263" t="s">
        <v>90</v>
      </c>
      <c r="E263" t="s">
        <v>87</v>
      </c>
      <c r="F263" t="s">
        <v>82</v>
      </c>
      <c r="G263">
        <v>11.6271472457555</v>
      </c>
      <c r="H263">
        <v>2E+20</v>
      </c>
      <c r="I263">
        <v>0</v>
      </c>
      <c r="J263">
        <v>25.124264588088199</v>
      </c>
      <c r="K263">
        <v>10</v>
      </c>
      <c r="L263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10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17.516251313067688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5.7722479534784288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9.7059079475153691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24.269237976286799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65.514510493787597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11.4</v>
      </c>
      <c r="W263" s="5">
        <f>IF((DiscreteStatsTable[[#This Row],[RepsRequested]]&gt;1),DiscreteStatsTable[[#This Row],[HalfWidth]],DiscreteStatsTable[[#This Row],[BatchMeansHalfWidth]])</f>
        <v>4.1292174364958303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10</v>
      </c>
      <c r="Y263" s="5">
        <f>IF(DiscreteStatsTable[[#This Row],[RepsRequested]]=DiscreteStatsTable[[#This Row],[RepsWithStatObserved]],1,0)</f>
        <v>1</v>
      </c>
    </row>
    <row r="264" spans="1:25" x14ac:dyDescent="0.3">
      <c r="A264" t="s">
        <v>66</v>
      </c>
      <c r="B264" t="s">
        <v>68</v>
      </c>
      <c r="C264">
        <v>3</v>
      </c>
      <c r="D264" t="s">
        <v>90</v>
      </c>
      <c r="E264" t="s">
        <v>81</v>
      </c>
      <c r="F264" t="s">
        <v>82</v>
      </c>
      <c r="G264">
        <v>0</v>
      </c>
      <c r="H264">
        <v>2E+20</v>
      </c>
      <c r="I264">
        <v>0</v>
      </c>
      <c r="J264">
        <v>0</v>
      </c>
      <c r="K264">
        <v>12</v>
      </c>
      <c r="L264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10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11.4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10</v>
      </c>
      <c r="Y264" s="5">
        <f>IF(DiscreteStatsTable[[#This Row],[RepsRequested]]=DiscreteStatsTable[[#This Row],[RepsWithStatObserved]],1,0)</f>
        <v>1</v>
      </c>
    </row>
    <row r="265" spans="1:25" x14ac:dyDescent="0.3">
      <c r="A265" t="s">
        <v>66</v>
      </c>
      <c r="B265" t="s">
        <v>68</v>
      </c>
      <c r="C265">
        <v>3</v>
      </c>
      <c r="D265" t="s">
        <v>90</v>
      </c>
      <c r="E265" t="s">
        <v>83</v>
      </c>
      <c r="F265" t="s">
        <v>82</v>
      </c>
      <c r="G265">
        <v>0</v>
      </c>
      <c r="H265">
        <v>2E+20</v>
      </c>
      <c r="I265">
        <v>0</v>
      </c>
      <c r="J265">
        <v>0</v>
      </c>
      <c r="K265">
        <v>12</v>
      </c>
      <c r="L265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10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11.4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10</v>
      </c>
      <c r="Y265" s="5">
        <f>IF(DiscreteStatsTable[[#This Row],[RepsRequested]]=DiscreteStatsTable[[#This Row],[RepsWithStatObserved]],1,0)</f>
        <v>1</v>
      </c>
    </row>
    <row r="266" spans="1:25" x14ac:dyDescent="0.3">
      <c r="A266" t="s">
        <v>66</v>
      </c>
      <c r="B266" t="s">
        <v>68</v>
      </c>
      <c r="C266">
        <v>3</v>
      </c>
      <c r="D266" t="s">
        <v>90</v>
      </c>
      <c r="E266" t="s">
        <v>84</v>
      </c>
      <c r="F266" t="s">
        <v>82</v>
      </c>
      <c r="G266">
        <v>48.125146290260403</v>
      </c>
      <c r="H266">
        <v>2E+20</v>
      </c>
      <c r="I266">
        <v>32.4686687610508</v>
      </c>
      <c r="J266">
        <v>87.128502541094093</v>
      </c>
      <c r="K266">
        <v>12</v>
      </c>
      <c r="L266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10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50.580256818777187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5.7250108439810763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43.309307456693901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57.852123951402099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30.9310144170956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96.993071741156299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11.4</v>
      </c>
      <c r="W266" s="5">
        <f>IF((DiscreteStatsTable[[#This Row],[RepsRequested]]&gt;1),DiscreteStatsTable[[#This Row],[HalfWidth]],DiscreteStatsTable[[#This Row],[BatchMeansHalfWidth]])</f>
        <v>4.0954260439988062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10</v>
      </c>
      <c r="Y266" s="5">
        <f>IF(DiscreteStatsTable[[#This Row],[RepsRequested]]=DiscreteStatsTable[[#This Row],[RepsWithStatObserved]],1,0)</f>
        <v>1</v>
      </c>
    </row>
    <row r="267" spans="1:25" x14ac:dyDescent="0.3">
      <c r="A267" t="s">
        <v>66</v>
      </c>
      <c r="B267" t="s">
        <v>68</v>
      </c>
      <c r="C267">
        <v>3</v>
      </c>
      <c r="D267" t="s">
        <v>90</v>
      </c>
      <c r="E267" t="s">
        <v>85</v>
      </c>
      <c r="F267" t="s">
        <v>82</v>
      </c>
      <c r="G267">
        <v>9</v>
      </c>
      <c r="H267">
        <v>2E+20</v>
      </c>
      <c r="I267">
        <v>9</v>
      </c>
      <c r="J267">
        <v>9</v>
      </c>
      <c r="K267">
        <v>12</v>
      </c>
      <c r="L267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10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9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8.9999999999999893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11.4</v>
      </c>
      <c r="W267" s="5">
        <f>IF((DiscreteStatsTable[[#This Row],[RepsRequested]]&gt;1),DiscreteStatsTable[[#This Row],[HalfWidth]],DiscreteStatsTable[[#This Row],[BatchMeansHalfWidth]])</f>
        <v>0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10</v>
      </c>
      <c r="Y267" s="5">
        <f>IF(DiscreteStatsTable[[#This Row],[RepsRequested]]=DiscreteStatsTable[[#This Row],[RepsWithStatObserved]],1,0)</f>
        <v>1</v>
      </c>
    </row>
    <row r="268" spans="1:25" x14ac:dyDescent="0.3">
      <c r="A268" t="s">
        <v>66</v>
      </c>
      <c r="B268" t="s">
        <v>68</v>
      </c>
      <c r="C268">
        <v>3</v>
      </c>
      <c r="D268" t="s">
        <v>90</v>
      </c>
      <c r="E268" t="s">
        <v>86</v>
      </c>
      <c r="F268" t="s">
        <v>82</v>
      </c>
      <c r="G268">
        <v>23.230521307253401</v>
      </c>
      <c r="H268">
        <v>2E+20</v>
      </c>
      <c r="I268">
        <v>17.9684813596824</v>
      </c>
      <c r="J268">
        <v>28.1136549817641</v>
      </c>
      <c r="K268">
        <v>12</v>
      </c>
      <c r="L268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10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24.06400550570951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23.230521307253401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25.169251972104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17.9684813596824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30.3404073957776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11.4</v>
      </c>
      <c r="W268" s="5">
        <f>IF((DiscreteStatsTable[[#This Row],[RepsRequested]]&gt;1),DiscreteStatsTable[[#This Row],[HalfWidth]],DiscreteStatsTable[[#This Row],[BatchMeansHalfWidth]])</f>
        <v>0.44633984307119945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10</v>
      </c>
      <c r="Y268" s="5">
        <f>IF(DiscreteStatsTable[[#This Row],[RepsRequested]]=DiscreteStatsTable[[#This Row],[RepsWithStatObserved]],1,0)</f>
        <v>1</v>
      </c>
    </row>
    <row r="269" spans="1:25" x14ac:dyDescent="0.3">
      <c r="A269" t="s">
        <v>66</v>
      </c>
      <c r="B269" t="s">
        <v>68</v>
      </c>
      <c r="C269">
        <v>3</v>
      </c>
      <c r="D269" t="s">
        <v>90</v>
      </c>
      <c r="E269" t="s">
        <v>87</v>
      </c>
      <c r="F269" t="s">
        <v>82</v>
      </c>
      <c r="G269">
        <v>15.894624983007001</v>
      </c>
      <c r="H269">
        <v>2E+20</v>
      </c>
      <c r="I269">
        <v>1.9516763693192001</v>
      </c>
      <c r="J269">
        <v>53.856685093067703</v>
      </c>
      <c r="K269">
        <v>12</v>
      </c>
      <c r="L269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10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17.516251313067688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5.7722479534784288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9.7059079475153691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24.269237976286799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65.514510493787597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11.4</v>
      </c>
      <c r="W269" s="5">
        <f>IF((DiscreteStatsTable[[#This Row],[RepsRequested]]&gt;1),DiscreteStatsTable[[#This Row],[HalfWidth]],DiscreteStatsTable[[#This Row],[BatchMeansHalfWidth]])</f>
        <v>4.1292174364958303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10</v>
      </c>
      <c r="Y269" s="5">
        <f>IF(DiscreteStatsTable[[#This Row],[RepsRequested]]=DiscreteStatsTable[[#This Row],[RepsWithStatObserved]],1,0)</f>
        <v>1</v>
      </c>
    </row>
    <row r="270" spans="1:25" x14ac:dyDescent="0.3">
      <c r="A270" t="s">
        <v>66</v>
      </c>
      <c r="B270" t="s">
        <v>68</v>
      </c>
      <c r="C270">
        <v>4</v>
      </c>
      <c r="D270" t="s">
        <v>90</v>
      </c>
      <c r="E270" t="s">
        <v>81</v>
      </c>
      <c r="F270" t="s">
        <v>82</v>
      </c>
      <c r="G270">
        <v>0</v>
      </c>
      <c r="H270">
        <v>2E+20</v>
      </c>
      <c r="I270">
        <v>0</v>
      </c>
      <c r="J270">
        <v>0</v>
      </c>
      <c r="K270">
        <v>11</v>
      </c>
      <c r="L270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10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11.4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10</v>
      </c>
      <c r="Y270" s="5">
        <f>IF(DiscreteStatsTable[[#This Row],[RepsRequested]]=DiscreteStatsTable[[#This Row],[RepsWithStatObserved]],1,0)</f>
        <v>1</v>
      </c>
    </row>
    <row r="271" spans="1:25" x14ac:dyDescent="0.3">
      <c r="A271" t="s">
        <v>66</v>
      </c>
      <c r="B271" t="s">
        <v>68</v>
      </c>
      <c r="C271">
        <v>4</v>
      </c>
      <c r="D271" t="s">
        <v>90</v>
      </c>
      <c r="E271" t="s">
        <v>83</v>
      </c>
      <c r="F271" t="s">
        <v>82</v>
      </c>
      <c r="G271">
        <v>0</v>
      </c>
      <c r="H271">
        <v>2E+20</v>
      </c>
      <c r="I271">
        <v>0</v>
      </c>
      <c r="J271">
        <v>0</v>
      </c>
      <c r="K271">
        <v>11</v>
      </c>
      <c r="L271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10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11.4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10</v>
      </c>
      <c r="Y271" s="5">
        <f>IF(DiscreteStatsTable[[#This Row],[RepsRequested]]=DiscreteStatsTable[[#This Row],[RepsWithStatObserved]],1,0)</f>
        <v>1</v>
      </c>
    </row>
    <row r="272" spans="1:25" x14ac:dyDescent="0.3">
      <c r="A272" t="s">
        <v>66</v>
      </c>
      <c r="B272" t="s">
        <v>68</v>
      </c>
      <c r="C272">
        <v>4</v>
      </c>
      <c r="D272" t="s">
        <v>90</v>
      </c>
      <c r="E272" t="s">
        <v>84</v>
      </c>
      <c r="F272" t="s">
        <v>82</v>
      </c>
      <c r="G272">
        <v>53.732529548833099</v>
      </c>
      <c r="H272">
        <v>2E+20</v>
      </c>
      <c r="I272">
        <v>35.898534997393803</v>
      </c>
      <c r="J272">
        <v>75.250903188082006</v>
      </c>
      <c r="K272">
        <v>11</v>
      </c>
      <c r="L272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10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50.580256818777187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5.7250108439810763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43.309307456693901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57.852123951402099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30.9310144170956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96.993071741156299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11.4</v>
      </c>
      <c r="W272" s="5">
        <f>IF((DiscreteStatsTable[[#This Row],[RepsRequested]]&gt;1),DiscreteStatsTable[[#This Row],[HalfWidth]],DiscreteStatsTable[[#This Row],[BatchMeansHalfWidth]])</f>
        <v>4.0954260439988062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10</v>
      </c>
      <c r="Y272" s="5">
        <f>IF(DiscreteStatsTable[[#This Row],[RepsRequested]]=DiscreteStatsTable[[#This Row],[RepsWithStatObserved]],1,0)</f>
        <v>1</v>
      </c>
    </row>
    <row r="273" spans="1:25" x14ac:dyDescent="0.3">
      <c r="A273" t="s">
        <v>66</v>
      </c>
      <c r="B273" t="s">
        <v>68</v>
      </c>
      <c r="C273">
        <v>4</v>
      </c>
      <c r="D273" t="s">
        <v>90</v>
      </c>
      <c r="E273" t="s">
        <v>85</v>
      </c>
      <c r="F273" t="s">
        <v>82</v>
      </c>
      <c r="G273">
        <v>9</v>
      </c>
      <c r="H273">
        <v>2E+20</v>
      </c>
      <c r="I273">
        <v>9</v>
      </c>
      <c r="J273">
        <v>9</v>
      </c>
      <c r="K273">
        <v>11</v>
      </c>
      <c r="L273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10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9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8.9999999999999893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11.4</v>
      </c>
      <c r="W273" s="5">
        <f>IF((DiscreteStatsTable[[#This Row],[RepsRequested]]&gt;1),DiscreteStatsTable[[#This Row],[HalfWidth]],DiscreteStatsTable[[#This Row],[BatchMeansHalfWidth]])</f>
        <v>0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10</v>
      </c>
      <c r="Y273" s="5">
        <f>IF(DiscreteStatsTable[[#This Row],[RepsRequested]]=DiscreteStatsTable[[#This Row],[RepsWithStatObserved]],1,0)</f>
        <v>1</v>
      </c>
    </row>
    <row r="274" spans="1:25" x14ac:dyDescent="0.3">
      <c r="A274" t="s">
        <v>66</v>
      </c>
      <c r="B274" t="s">
        <v>68</v>
      </c>
      <c r="C274">
        <v>4</v>
      </c>
      <c r="D274" t="s">
        <v>90</v>
      </c>
      <c r="E274" t="s">
        <v>86</v>
      </c>
      <c r="F274" t="s">
        <v>82</v>
      </c>
      <c r="G274">
        <v>25.169251972104</v>
      </c>
      <c r="H274">
        <v>2E+20</v>
      </c>
      <c r="I274">
        <v>22.623581257725899</v>
      </c>
      <c r="J274">
        <v>28.388043876735701</v>
      </c>
      <c r="K274">
        <v>11</v>
      </c>
      <c r="L274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10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24.06400550570951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23.230521307253401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25.169251972104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17.9684813596824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30.3404073957776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11.4</v>
      </c>
      <c r="W274" s="5">
        <f>IF((DiscreteStatsTable[[#This Row],[RepsRequested]]&gt;1),DiscreteStatsTable[[#This Row],[HalfWidth]],DiscreteStatsTable[[#This Row],[BatchMeansHalfWidth]])</f>
        <v>0.44633984307119945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10</v>
      </c>
      <c r="Y274" s="5">
        <f>IF(DiscreteStatsTable[[#This Row],[RepsRequested]]=DiscreteStatsTable[[#This Row],[RepsWithStatObserved]],1,0)</f>
        <v>1</v>
      </c>
    </row>
    <row r="275" spans="1:25" x14ac:dyDescent="0.3">
      <c r="A275" t="s">
        <v>66</v>
      </c>
      <c r="B275" t="s">
        <v>68</v>
      </c>
      <c r="C275">
        <v>4</v>
      </c>
      <c r="D275" t="s">
        <v>90</v>
      </c>
      <c r="E275" t="s">
        <v>87</v>
      </c>
      <c r="F275" t="s">
        <v>82</v>
      </c>
      <c r="G275">
        <v>19.563277576729099</v>
      </c>
      <c r="H275">
        <v>2E+20</v>
      </c>
      <c r="I275">
        <v>0</v>
      </c>
      <c r="J275">
        <v>41.604403620400603</v>
      </c>
      <c r="K275">
        <v>11</v>
      </c>
      <c r="L275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10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17.516251313067688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5.7722479534784288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9.7059079475153691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24.269237976286799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65.514510493787597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11.4</v>
      </c>
      <c r="W275" s="5">
        <f>IF((DiscreteStatsTable[[#This Row],[RepsRequested]]&gt;1),DiscreteStatsTable[[#This Row],[HalfWidth]],DiscreteStatsTable[[#This Row],[BatchMeansHalfWidth]])</f>
        <v>4.1292174364958303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10</v>
      </c>
      <c r="Y275" s="5">
        <f>IF(DiscreteStatsTable[[#This Row],[RepsRequested]]=DiscreteStatsTable[[#This Row],[RepsWithStatObserved]],1,0)</f>
        <v>1</v>
      </c>
    </row>
    <row r="276" spans="1:25" x14ac:dyDescent="0.3">
      <c r="A276" t="s">
        <v>66</v>
      </c>
      <c r="B276" t="s">
        <v>68</v>
      </c>
      <c r="C276">
        <v>5</v>
      </c>
      <c r="D276" t="s">
        <v>90</v>
      </c>
      <c r="E276" t="s">
        <v>81</v>
      </c>
      <c r="F276" t="s">
        <v>82</v>
      </c>
      <c r="G276">
        <v>0</v>
      </c>
      <c r="H276">
        <v>2E+20</v>
      </c>
      <c r="I276">
        <v>0</v>
      </c>
      <c r="J276">
        <v>0</v>
      </c>
      <c r="K276">
        <v>14</v>
      </c>
      <c r="L276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10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11.4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10</v>
      </c>
      <c r="Y276" s="5">
        <f>IF(DiscreteStatsTable[[#This Row],[RepsRequested]]=DiscreteStatsTable[[#This Row],[RepsWithStatObserved]],1,0)</f>
        <v>1</v>
      </c>
    </row>
    <row r="277" spans="1:25" x14ac:dyDescent="0.3">
      <c r="A277" t="s">
        <v>66</v>
      </c>
      <c r="B277" t="s">
        <v>68</v>
      </c>
      <c r="C277">
        <v>5</v>
      </c>
      <c r="D277" t="s">
        <v>90</v>
      </c>
      <c r="E277" t="s">
        <v>83</v>
      </c>
      <c r="F277" t="s">
        <v>82</v>
      </c>
      <c r="G277">
        <v>0</v>
      </c>
      <c r="H277">
        <v>2E+20</v>
      </c>
      <c r="I277">
        <v>0</v>
      </c>
      <c r="J277">
        <v>0</v>
      </c>
      <c r="K277">
        <v>14</v>
      </c>
      <c r="L277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10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11.4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10</v>
      </c>
      <c r="Y277" s="5">
        <f>IF(DiscreteStatsTable[[#This Row],[RepsRequested]]=DiscreteStatsTable[[#This Row],[RepsWithStatObserved]],1,0)</f>
        <v>1</v>
      </c>
    </row>
    <row r="278" spans="1:25" x14ac:dyDescent="0.3">
      <c r="A278" t="s">
        <v>66</v>
      </c>
      <c r="B278" t="s">
        <v>68</v>
      </c>
      <c r="C278">
        <v>5</v>
      </c>
      <c r="D278" t="s">
        <v>90</v>
      </c>
      <c r="E278" t="s">
        <v>84</v>
      </c>
      <c r="F278" t="s">
        <v>82</v>
      </c>
      <c r="G278">
        <v>43.836381030600201</v>
      </c>
      <c r="H278">
        <v>2E+20</v>
      </c>
      <c r="I278">
        <v>33.553023236499001</v>
      </c>
      <c r="J278">
        <v>67.917561426639296</v>
      </c>
      <c r="K278">
        <v>14</v>
      </c>
      <c r="L278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10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50.580256818777187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5.7250108439810763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43.309307456693901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57.852123951402099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30.9310144170956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96.993071741156299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11.4</v>
      </c>
      <c r="W278" s="5">
        <f>IF((DiscreteStatsTable[[#This Row],[RepsRequested]]&gt;1),DiscreteStatsTable[[#This Row],[HalfWidth]],DiscreteStatsTable[[#This Row],[BatchMeansHalfWidth]])</f>
        <v>4.0954260439988062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10</v>
      </c>
      <c r="Y278" s="5">
        <f>IF(DiscreteStatsTable[[#This Row],[RepsRequested]]=DiscreteStatsTable[[#This Row],[RepsWithStatObserved]],1,0)</f>
        <v>1</v>
      </c>
    </row>
    <row r="279" spans="1:25" x14ac:dyDescent="0.3">
      <c r="A279" t="s">
        <v>66</v>
      </c>
      <c r="B279" t="s">
        <v>68</v>
      </c>
      <c r="C279">
        <v>5</v>
      </c>
      <c r="D279" t="s">
        <v>90</v>
      </c>
      <c r="E279" t="s">
        <v>85</v>
      </c>
      <c r="F279" t="s">
        <v>82</v>
      </c>
      <c r="G279">
        <v>9</v>
      </c>
      <c r="H279">
        <v>2E+20</v>
      </c>
      <c r="I279">
        <v>9</v>
      </c>
      <c r="J279">
        <v>9</v>
      </c>
      <c r="K279">
        <v>14</v>
      </c>
      <c r="L279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10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9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8.9999999999999893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11.4</v>
      </c>
      <c r="W279" s="5">
        <f>IF((DiscreteStatsTable[[#This Row],[RepsRequested]]&gt;1),DiscreteStatsTable[[#This Row],[HalfWidth]],DiscreteStatsTable[[#This Row],[BatchMeansHalfWidth]])</f>
        <v>0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10</v>
      </c>
      <c r="Y279" s="5">
        <f>IF(DiscreteStatsTable[[#This Row],[RepsRequested]]=DiscreteStatsTable[[#This Row],[RepsWithStatObserved]],1,0)</f>
        <v>1</v>
      </c>
    </row>
    <row r="280" spans="1:25" x14ac:dyDescent="0.3">
      <c r="A280" t="s">
        <v>66</v>
      </c>
      <c r="B280" t="s">
        <v>68</v>
      </c>
      <c r="C280">
        <v>5</v>
      </c>
      <c r="D280" t="s">
        <v>90</v>
      </c>
      <c r="E280" t="s">
        <v>86</v>
      </c>
      <c r="F280" t="s">
        <v>82</v>
      </c>
      <c r="G280">
        <v>23.682128700143799</v>
      </c>
      <c r="H280">
        <v>2E+20</v>
      </c>
      <c r="I280">
        <v>18.3183086688015</v>
      </c>
      <c r="J280">
        <v>27.181467462844999</v>
      </c>
      <c r="K280">
        <v>14</v>
      </c>
      <c r="L280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10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24.06400550570951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23.230521307253401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25.169251972104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17.9684813596824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30.3404073957776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11.4</v>
      </c>
      <c r="W280" s="5">
        <f>IF((DiscreteStatsTable[[#This Row],[RepsRequested]]&gt;1),DiscreteStatsTable[[#This Row],[HalfWidth]],DiscreteStatsTable[[#This Row],[BatchMeansHalfWidth]])</f>
        <v>0.44633984307119945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10</v>
      </c>
      <c r="Y280" s="5">
        <f>IF(DiscreteStatsTable[[#This Row],[RepsRequested]]=DiscreteStatsTable[[#This Row],[RepsWithStatObserved]],1,0)</f>
        <v>1</v>
      </c>
    </row>
    <row r="281" spans="1:25" x14ac:dyDescent="0.3">
      <c r="A281" t="s">
        <v>66</v>
      </c>
      <c r="B281" t="s">
        <v>68</v>
      </c>
      <c r="C281">
        <v>5</v>
      </c>
      <c r="D281" t="s">
        <v>90</v>
      </c>
      <c r="E281" t="s">
        <v>87</v>
      </c>
      <c r="F281" t="s">
        <v>82</v>
      </c>
      <c r="G281">
        <v>11.1542523304564</v>
      </c>
      <c r="H281">
        <v>2E+20</v>
      </c>
      <c r="I281">
        <v>0</v>
      </c>
      <c r="J281">
        <v>33.599059349708298</v>
      </c>
      <c r="K281">
        <v>14</v>
      </c>
      <c r="L281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10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17.516251313067688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5.7722479534784288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9.7059079475153691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24.269237976286799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65.514510493787597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11.4</v>
      </c>
      <c r="W281" s="5">
        <f>IF((DiscreteStatsTable[[#This Row],[RepsRequested]]&gt;1),DiscreteStatsTable[[#This Row],[HalfWidth]],DiscreteStatsTable[[#This Row],[BatchMeansHalfWidth]])</f>
        <v>4.1292174364958303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10</v>
      </c>
      <c r="Y281" s="5">
        <f>IF(DiscreteStatsTable[[#This Row],[RepsRequested]]=DiscreteStatsTable[[#This Row],[RepsWithStatObserved]],1,0)</f>
        <v>1</v>
      </c>
    </row>
    <row r="282" spans="1:25" x14ac:dyDescent="0.3">
      <c r="A282" t="s">
        <v>66</v>
      </c>
      <c r="B282" t="s">
        <v>68</v>
      </c>
      <c r="C282">
        <v>6</v>
      </c>
      <c r="D282" t="s">
        <v>90</v>
      </c>
      <c r="E282" t="s">
        <v>81</v>
      </c>
      <c r="F282" t="s">
        <v>82</v>
      </c>
      <c r="G282">
        <v>0</v>
      </c>
      <c r="H282">
        <v>2E+20</v>
      </c>
      <c r="I282">
        <v>0</v>
      </c>
      <c r="J282">
        <v>0</v>
      </c>
      <c r="K282">
        <v>8</v>
      </c>
      <c r="L282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10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11.4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10</v>
      </c>
      <c r="Y282" s="5">
        <f>IF(DiscreteStatsTable[[#This Row],[RepsRequested]]=DiscreteStatsTable[[#This Row],[RepsWithStatObserved]],1,0)</f>
        <v>1</v>
      </c>
    </row>
    <row r="283" spans="1:25" x14ac:dyDescent="0.3">
      <c r="A283" t="s">
        <v>66</v>
      </c>
      <c r="B283" t="s">
        <v>68</v>
      </c>
      <c r="C283">
        <v>6</v>
      </c>
      <c r="D283" t="s">
        <v>90</v>
      </c>
      <c r="E283" t="s">
        <v>83</v>
      </c>
      <c r="F283" t="s">
        <v>82</v>
      </c>
      <c r="G283">
        <v>0</v>
      </c>
      <c r="H283">
        <v>2E+20</v>
      </c>
      <c r="I283">
        <v>0</v>
      </c>
      <c r="J283">
        <v>0</v>
      </c>
      <c r="K283">
        <v>8</v>
      </c>
      <c r="L283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10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11.4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10</v>
      </c>
      <c r="Y283" s="5">
        <f>IF(DiscreteStatsTable[[#This Row],[RepsRequested]]=DiscreteStatsTable[[#This Row],[RepsWithStatObserved]],1,0)</f>
        <v>1</v>
      </c>
    </row>
    <row r="284" spans="1:25" x14ac:dyDescent="0.3">
      <c r="A284" t="s">
        <v>66</v>
      </c>
      <c r="B284" t="s">
        <v>68</v>
      </c>
      <c r="C284">
        <v>6</v>
      </c>
      <c r="D284" t="s">
        <v>90</v>
      </c>
      <c r="E284" t="s">
        <v>84</v>
      </c>
      <c r="F284" t="s">
        <v>82</v>
      </c>
      <c r="G284">
        <v>46.785301354134099</v>
      </c>
      <c r="H284">
        <v>2E+20</v>
      </c>
      <c r="I284">
        <v>30.9310144170956</v>
      </c>
      <c r="J284">
        <v>74.052567635113206</v>
      </c>
      <c r="K284">
        <v>8</v>
      </c>
      <c r="L284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10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50.580256818777187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5.7250108439810763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43.309307456693901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57.852123951402099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30.9310144170956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96.993071741156299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11.4</v>
      </c>
      <c r="W284" s="5">
        <f>IF((DiscreteStatsTable[[#This Row],[RepsRequested]]&gt;1),DiscreteStatsTable[[#This Row],[HalfWidth]],DiscreteStatsTable[[#This Row],[BatchMeansHalfWidth]])</f>
        <v>4.0954260439988062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10</v>
      </c>
      <c r="Y284" s="5">
        <f>IF(DiscreteStatsTable[[#This Row],[RepsRequested]]=DiscreteStatsTable[[#This Row],[RepsWithStatObserved]],1,0)</f>
        <v>1</v>
      </c>
    </row>
    <row r="285" spans="1:25" x14ac:dyDescent="0.3">
      <c r="A285" t="s">
        <v>66</v>
      </c>
      <c r="B285" t="s">
        <v>68</v>
      </c>
      <c r="C285">
        <v>6</v>
      </c>
      <c r="D285" t="s">
        <v>90</v>
      </c>
      <c r="E285" t="s">
        <v>85</v>
      </c>
      <c r="F285" t="s">
        <v>82</v>
      </c>
      <c r="G285">
        <v>9</v>
      </c>
      <c r="H285">
        <v>2E+20</v>
      </c>
      <c r="I285">
        <v>9</v>
      </c>
      <c r="J285">
        <v>9</v>
      </c>
      <c r="K285">
        <v>8</v>
      </c>
      <c r="L285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10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9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8.9999999999999893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11.4</v>
      </c>
      <c r="W285" s="5">
        <f>IF((DiscreteStatsTable[[#This Row],[RepsRequested]]&gt;1),DiscreteStatsTable[[#This Row],[HalfWidth]],DiscreteStatsTable[[#This Row],[BatchMeansHalfWidth]])</f>
        <v>0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10</v>
      </c>
      <c r="Y285" s="5">
        <f>IF(DiscreteStatsTable[[#This Row],[RepsRequested]]=DiscreteStatsTable[[#This Row],[RepsWithStatObserved]],1,0)</f>
        <v>1</v>
      </c>
    </row>
    <row r="286" spans="1:25" x14ac:dyDescent="0.3">
      <c r="A286" t="s">
        <v>66</v>
      </c>
      <c r="B286" t="s">
        <v>68</v>
      </c>
      <c r="C286">
        <v>6</v>
      </c>
      <c r="D286" t="s">
        <v>90</v>
      </c>
      <c r="E286" t="s">
        <v>86</v>
      </c>
      <c r="F286" t="s">
        <v>82</v>
      </c>
      <c r="G286">
        <v>24.091947261569</v>
      </c>
      <c r="H286">
        <v>2E+20</v>
      </c>
      <c r="I286">
        <v>21.3026573535365</v>
      </c>
      <c r="J286">
        <v>28.0185437704754</v>
      </c>
      <c r="K286">
        <v>8</v>
      </c>
      <c r="L286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10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24.06400550570951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23.230521307253401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25.169251972104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17.9684813596824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30.3404073957776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11.4</v>
      </c>
      <c r="W286" s="5">
        <f>IF((DiscreteStatsTable[[#This Row],[RepsRequested]]&gt;1),DiscreteStatsTable[[#This Row],[HalfWidth]],DiscreteStatsTable[[#This Row],[BatchMeansHalfWidth]])</f>
        <v>0.44633984307119945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10</v>
      </c>
      <c r="Y286" s="5">
        <f>IF(DiscreteStatsTable[[#This Row],[RepsRequested]]=DiscreteStatsTable[[#This Row],[RepsWithStatObserved]],1,0)</f>
        <v>1</v>
      </c>
    </row>
    <row r="287" spans="1:25" x14ac:dyDescent="0.3">
      <c r="A287" t="s">
        <v>66</v>
      </c>
      <c r="B287" t="s">
        <v>68</v>
      </c>
      <c r="C287">
        <v>6</v>
      </c>
      <c r="D287" t="s">
        <v>90</v>
      </c>
      <c r="E287" t="s">
        <v>87</v>
      </c>
      <c r="F287" t="s">
        <v>82</v>
      </c>
      <c r="G287">
        <v>13.6933540925651</v>
      </c>
      <c r="H287">
        <v>2E+20</v>
      </c>
      <c r="I287">
        <v>0</v>
      </c>
      <c r="J287">
        <v>42.867650436244901</v>
      </c>
      <c r="K287">
        <v>8</v>
      </c>
      <c r="L287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10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17.516251313067688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5.7722479534784288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9.7059079475153691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24.269237976286799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65.514510493787597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11.4</v>
      </c>
      <c r="W287" s="5">
        <f>IF((DiscreteStatsTable[[#This Row],[RepsRequested]]&gt;1),DiscreteStatsTable[[#This Row],[HalfWidth]],DiscreteStatsTable[[#This Row],[BatchMeansHalfWidth]])</f>
        <v>4.1292174364958303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10</v>
      </c>
      <c r="Y287" s="5">
        <f>IF(DiscreteStatsTable[[#This Row],[RepsRequested]]=DiscreteStatsTable[[#This Row],[RepsWithStatObserved]],1,0)</f>
        <v>1</v>
      </c>
    </row>
    <row r="288" spans="1:25" x14ac:dyDescent="0.3">
      <c r="A288" t="s">
        <v>66</v>
      </c>
      <c r="B288" t="s">
        <v>68</v>
      </c>
      <c r="C288">
        <v>7</v>
      </c>
      <c r="D288" t="s">
        <v>90</v>
      </c>
      <c r="E288" t="s">
        <v>81</v>
      </c>
      <c r="F288" t="s">
        <v>82</v>
      </c>
      <c r="G288">
        <v>0</v>
      </c>
      <c r="H288">
        <v>2E+20</v>
      </c>
      <c r="I288">
        <v>0</v>
      </c>
      <c r="J288">
        <v>0</v>
      </c>
      <c r="K288">
        <v>10</v>
      </c>
      <c r="L288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10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11.4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10</v>
      </c>
      <c r="Y288" s="5">
        <f>IF(DiscreteStatsTable[[#This Row],[RepsRequested]]=DiscreteStatsTable[[#This Row],[RepsWithStatObserved]],1,0)</f>
        <v>1</v>
      </c>
    </row>
    <row r="289" spans="1:25" x14ac:dyDescent="0.3">
      <c r="A289" t="s">
        <v>66</v>
      </c>
      <c r="B289" t="s">
        <v>68</v>
      </c>
      <c r="C289">
        <v>7</v>
      </c>
      <c r="D289" t="s">
        <v>90</v>
      </c>
      <c r="E289" t="s">
        <v>83</v>
      </c>
      <c r="F289" t="s">
        <v>82</v>
      </c>
      <c r="G289">
        <v>0</v>
      </c>
      <c r="H289">
        <v>2E+20</v>
      </c>
      <c r="I289">
        <v>0</v>
      </c>
      <c r="J289">
        <v>0</v>
      </c>
      <c r="K289">
        <v>10</v>
      </c>
      <c r="L289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10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11.4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10</v>
      </c>
      <c r="Y289" s="5">
        <f>IF(DiscreteStatsTable[[#This Row],[RepsRequested]]=DiscreteStatsTable[[#This Row],[RepsWithStatObserved]],1,0)</f>
        <v>1</v>
      </c>
    </row>
    <row r="290" spans="1:25" x14ac:dyDescent="0.3">
      <c r="A290" t="s">
        <v>66</v>
      </c>
      <c r="B290" t="s">
        <v>68</v>
      </c>
      <c r="C290">
        <v>7</v>
      </c>
      <c r="D290" t="s">
        <v>90</v>
      </c>
      <c r="E290" t="s">
        <v>84</v>
      </c>
      <c r="F290" t="s">
        <v>82</v>
      </c>
      <c r="G290">
        <v>43.309307456693901</v>
      </c>
      <c r="H290">
        <v>2E+20</v>
      </c>
      <c r="I290">
        <v>33.372364645818401</v>
      </c>
      <c r="J290">
        <v>61.036332343549098</v>
      </c>
      <c r="K290">
        <v>10</v>
      </c>
      <c r="L290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10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50.580256818777187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5.7250108439810763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43.309307456693901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57.852123951402099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30.9310144170956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96.993071741156299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11.4</v>
      </c>
      <c r="W290" s="5">
        <f>IF((DiscreteStatsTable[[#This Row],[RepsRequested]]&gt;1),DiscreteStatsTable[[#This Row],[HalfWidth]],DiscreteStatsTable[[#This Row],[BatchMeansHalfWidth]])</f>
        <v>4.0954260439988062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10</v>
      </c>
      <c r="Y290" s="5">
        <f>IF(DiscreteStatsTable[[#This Row],[RepsRequested]]=DiscreteStatsTable[[#This Row],[RepsWithStatObserved]],1,0)</f>
        <v>1</v>
      </c>
    </row>
    <row r="291" spans="1:25" x14ac:dyDescent="0.3">
      <c r="A291" t="s">
        <v>66</v>
      </c>
      <c r="B291" t="s">
        <v>68</v>
      </c>
      <c r="C291">
        <v>7</v>
      </c>
      <c r="D291" t="s">
        <v>90</v>
      </c>
      <c r="E291" t="s">
        <v>85</v>
      </c>
      <c r="F291" t="s">
        <v>82</v>
      </c>
      <c r="G291">
        <v>9</v>
      </c>
      <c r="H291">
        <v>2E+20</v>
      </c>
      <c r="I291">
        <v>8.9999999999999893</v>
      </c>
      <c r="J291">
        <v>9</v>
      </c>
      <c r="K291">
        <v>10</v>
      </c>
      <c r="L291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10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9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8.9999999999999893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11.4</v>
      </c>
      <c r="W291" s="5">
        <f>IF((DiscreteStatsTable[[#This Row],[RepsRequested]]&gt;1),DiscreteStatsTable[[#This Row],[HalfWidth]],DiscreteStatsTable[[#This Row],[BatchMeansHalfWidth]])</f>
        <v>0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10</v>
      </c>
      <c r="Y291" s="5">
        <f>IF(DiscreteStatsTable[[#This Row],[RepsRequested]]=DiscreteStatsTable[[#This Row],[RepsWithStatObserved]],1,0)</f>
        <v>1</v>
      </c>
    </row>
    <row r="292" spans="1:25" x14ac:dyDescent="0.3">
      <c r="A292" t="s">
        <v>66</v>
      </c>
      <c r="B292" t="s">
        <v>68</v>
      </c>
      <c r="C292">
        <v>7</v>
      </c>
      <c r="D292" t="s">
        <v>90</v>
      </c>
      <c r="E292" t="s">
        <v>86</v>
      </c>
      <c r="F292" t="s">
        <v>82</v>
      </c>
      <c r="G292">
        <v>24.603399509178601</v>
      </c>
      <c r="H292">
        <v>2E+20</v>
      </c>
      <c r="I292">
        <v>22.260277735419699</v>
      </c>
      <c r="J292">
        <v>28.456608374950001</v>
      </c>
      <c r="K292">
        <v>10</v>
      </c>
      <c r="L292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10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24.06400550570951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23.230521307253401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25.169251972104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17.9684813596824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30.3404073957776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11.4</v>
      </c>
      <c r="W292" s="5">
        <f>IF((DiscreteStatsTable[[#This Row],[RepsRequested]]&gt;1),DiscreteStatsTable[[#This Row],[HalfWidth]],DiscreteStatsTable[[#This Row],[BatchMeansHalfWidth]])</f>
        <v>0.44633984307119945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10</v>
      </c>
      <c r="Y292" s="5">
        <f>IF(DiscreteStatsTable[[#This Row],[RepsRequested]]=DiscreteStatsTable[[#This Row],[RepsWithStatObserved]],1,0)</f>
        <v>1</v>
      </c>
    </row>
    <row r="293" spans="1:25" x14ac:dyDescent="0.3">
      <c r="A293" t="s">
        <v>66</v>
      </c>
      <c r="B293" t="s">
        <v>68</v>
      </c>
      <c r="C293">
        <v>7</v>
      </c>
      <c r="D293" t="s">
        <v>90</v>
      </c>
      <c r="E293" t="s">
        <v>87</v>
      </c>
      <c r="F293" t="s">
        <v>82</v>
      </c>
      <c r="G293">
        <v>9.7059079475153691</v>
      </c>
      <c r="H293">
        <v>2E+20</v>
      </c>
      <c r="I293">
        <v>8.05788039650608E-2</v>
      </c>
      <c r="J293">
        <v>26.952897313991102</v>
      </c>
      <c r="K293">
        <v>10</v>
      </c>
      <c r="L293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10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17.516251313067688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5.7722479534784288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9.7059079475153691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24.269237976286799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65.514510493787597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11.4</v>
      </c>
      <c r="W293" s="5">
        <f>IF((DiscreteStatsTable[[#This Row],[RepsRequested]]&gt;1),DiscreteStatsTable[[#This Row],[HalfWidth]],DiscreteStatsTable[[#This Row],[BatchMeansHalfWidth]])</f>
        <v>4.1292174364958303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10</v>
      </c>
      <c r="Y293" s="5">
        <f>IF(DiscreteStatsTable[[#This Row],[RepsRequested]]=DiscreteStatsTable[[#This Row],[RepsWithStatObserved]],1,0)</f>
        <v>1</v>
      </c>
    </row>
    <row r="294" spans="1:25" x14ac:dyDescent="0.3">
      <c r="A294" t="s">
        <v>66</v>
      </c>
      <c r="B294" t="s">
        <v>68</v>
      </c>
      <c r="C294">
        <v>8</v>
      </c>
      <c r="D294" t="s">
        <v>90</v>
      </c>
      <c r="E294" t="s">
        <v>81</v>
      </c>
      <c r="F294" t="s">
        <v>82</v>
      </c>
      <c r="G294">
        <v>0</v>
      </c>
      <c r="H294">
        <v>2E+20</v>
      </c>
      <c r="I294">
        <v>0</v>
      </c>
      <c r="J294">
        <v>0</v>
      </c>
      <c r="K294">
        <v>14</v>
      </c>
      <c r="L294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10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11.4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10</v>
      </c>
      <c r="Y294" s="5">
        <f>IF(DiscreteStatsTable[[#This Row],[RepsRequested]]=DiscreteStatsTable[[#This Row],[RepsWithStatObserved]],1,0)</f>
        <v>1</v>
      </c>
    </row>
    <row r="295" spans="1:25" x14ac:dyDescent="0.3">
      <c r="A295" t="s">
        <v>66</v>
      </c>
      <c r="B295" t="s">
        <v>68</v>
      </c>
      <c r="C295">
        <v>8</v>
      </c>
      <c r="D295" t="s">
        <v>90</v>
      </c>
      <c r="E295" t="s">
        <v>83</v>
      </c>
      <c r="F295" t="s">
        <v>82</v>
      </c>
      <c r="G295">
        <v>0</v>
      </c>
      <c r="H295">
        <v>2E+20</v>
      </c>
      <c r="I295">
        <v>0</v>
      </c>
      <c r="J295">
        <v>0</v>
      </c>
      <c r="K295">
        <v>14</v>
      </c>
      <c r="L295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10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11.4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10</v>
      </c>
      <c r="Y295" s="5">
        <f>IF(DiscreteStatsTable[[#This Row],[RepsRequested]]=DiscreteStatsTable[[#This Row],[RepsWithStatObserved]],1,0)</f>
        <v>1</v>
      </c>
    </row>
    <row r="296" spans="1:25" x14ac:dyDescent="0.3">
      <c r="A296" t="s">
        <v>66</v>
      </c>
      <c r="B296" t="s">
        <v>68</v>
      </c>
      <c r="C296">
        <v>8</v>
      </c>
      <c r="D296" t="s">
        <v>90</v>
      </c>
      <c r="E296" t="s">
        <v>84</v>
      </c>
      <c r="F296" t="s">
        <v>82</v>
      </c>
      <c r="G296">
        <v>56.7378475018823</v>
      </c>
      <c r="H296">
        <v>2E+20</v>
      </c>
      <c r="I296">
        <v>36.562204124257697</v>
      </c>
      <c r="J296">
        <v>96.993071741156299</v>
      </c>
      <c r="K296">
        <v>14</v>
      </c>
      <c r="L296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10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50.580256818777187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5.7250108439810763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43.309307456693901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57.852123951402099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30.9310144170956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96.993071741156299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11.4</v>
      </c>
      <c r="W296" s="5">
        <f>IF((DiscreteStatsTable[[#This Row],[RepsRequested]]&gt;1),DiscreteStatsTable[[#This Row],[HalfWidth]],DiscreteStatsTable[[#This Row],[BatchMeansHalfWidth]])</f>
        <v>4.0954260439988062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10</v>
      </c>
      <c r="Y296" s="5">
        <f>IF(DiscreteStatsTable[[#This Row],[RepsRequested]]=DiscreteStatsTable[[#This Row],[RepsWithStatObserved]],1,0)</f>
        <v>1</v>
      </c>
    </row>
    <row r="297" spans="1:25" x14ac:dyDescent="0.3">
      <c r="A297" t="s">
        <v>66</v>
      </c>
      <c r="B297" t="s">
        <v>68</v>
      </c>
      <c r="C297">
        <v>8</v>
      </c>
      <c r="D297" t="s">
        <v>90</v>
      </c>
      <c r="E297" t="s">
        <v>85</v>
      </c>
      <c r="F297" t="s">
        <v>82</v>
      </c>
      <c r="G297">
        <v>9</v>
      </c>
      <c r="H297">
        <v>2E+20</v>
      </c>
      <c r="I297">
        <v>9</v>
      </c>
      <c r="J297">
        <v>9</v>
      </c>
      <c r="K297">
        <v>14</v>
      </c>
      <c r="L297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10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9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8.9999999999999893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11.4</v>
      </c>
      <c r="W297" s="5">
        <f>IF((DiscreteStatsTable[[#This Row],[RepsRequested]]&gt;1),DiscreteStatsTable[[#This Row],[HalfWidth]],DiscreteStatsTable[[#This Row],[BatchMeansHalfWidth]])</f>
        <v>0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10</v>
      </c>
      <c r="Y297" s="5">
        <f>IF(DiscreteStatsTable[[#This Row],[RepsRequested]]=DiscreteStatsTable[[#This Row],[RepsWithStatObserved]],1,0)</f>
        <v>1</v>
      </c>
    </row>
    <row r="298" spans="1:25" x14ac:dyDescent="0.3">
      <c r="A298" t="s">
        <v>66</v>
      </c>
      <c r="B298" t="s">
        <v>68</v>
      </c>
      <c r="C298">
        <v>8</v>
      </c>
      <c r="D298" t="s">
        <v>90</v>
      </c>
      <c r="E298" t="s">
        <v>86</v>
      </c>
      <c r="F298" t="s">
        <v>82</v>
      </c>
      <c r="G298">
        <v>23.675202757774599</v>
      </c>
      <c r="H298">
        <v>2E+20</v>
      </c>
      <c r="I298">
        <v>19.941601437874599</v>
      </c>
      <c r="J298">
        <v>26.998091927945399</v>
      </c>
      <c r="K298">
        <v>14</v>
      </c>
      <c r="L298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10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24.06400550570951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0.62394007710817145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23.230521307253401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25.169251972104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17.9684813596824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30.3404073957776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11.4</v>
      </c>
      <c r="W298" s="5">
        <f>IF((DiscreteStatsTable[[#This Row],[RepsRequested]]&gt;1),DiscreteStatsTable[[#This Row],[HalfWidth]],DiscreteStatsTable[[#This Row],[BatchMeansHalfWidth]])</f>
        <v>0.44633984307119945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10</v>
      </c>
      <c r="Y298" s="5">
        <f>IF(DiscreteStatsTable[[#This Row],[RepsRequested]]=DiscreteStatsTable[[#This Row],[RepsWithStatObserved]],1,0)</f>
        <v>1</v>
      </c>
    </row>
    <row r="299" spans="1:25" x14ac:dyDescent="0.3">
      <c r="A299" t="s">
        <v>66</v>
      </c>
      <c r="B299" t="s">
        <v>68</v>
      </c>
      <c r="C299">
        <v>8</v>
      </c>
      <c r="D299" t="s">
        <v>90</v>
      </c>
      <c r="E299" t="s">
        <v>87</v>
      </c>
      <c r="F299" t="s">
        <v>82</v>
      </c>
      <c r="G299">
        <v>24.0626447441077</v>
      </c>
      <c r="H299">
        <v>2E+20</v>
      </c>
      <c r="I299">
        <v>4.5906756686076404</v>
      </c>
      <c r="J299">
        <v>65.514510493787597</v>
      </c>
      <c r="K299">
        <v>14</v>
      </c>
      <c r="L299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10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17.516251313067688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5.7722479534784288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9.7059079475153691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24.269237976286799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65.514510493787597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11.4</v>
      </c>
      <c r="W299" s="5">
        <f>IF((DiscreteStatsTable[[#This Row],[RepsRequested]]&gt;1),DiscreteStatsTable[[#This Row],[HalfWidth]],DiscreteStatsTable[[#This Row],[BatchMeansHalfWidth]])</f>
        <v>4.1292174364958303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10</v>
      </c>
      <c r="Y299" s="5">
        <f>IF(DiscreteStatsTable[[#This Row],[RepsRequested]]=DiscreteStatsTable[[#This Row],[RepsWithStatObserved]],1,0)</f>
        <v>1</v>
      </c>
    </row>
    <row r="300" spans="1:25" x14ac:dyDescent="0.3">
      <c r="A300" t="s">
        <v>66</v>
      </c>
      <c r="B300" t="s">
        <v>68</v>
      </c>
      <c r="C300">
        <v>9</v>
      </c>
      <c r="D300" t="s">
        <v>90</v>
      </c>
      <c r="E300" t="s">
        <v>81</v>
      </c>
      <c r="F300" t="s">
        <v>82</v>
      </c>
      <c r="G300">
        <v>0</v>
      </c>
      <c r="H300">
        <v>2E+20</v>
      </c>
      <c r="I300">
        <v>0</v>
      </c>
      <c r="J300">
        <v>0</v>
      </c>
      <c r="K300">
        <v>12</v>
      </c>
      <c r="L300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10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11.4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10</v>
      </c>
      <c r="Y300" s="5">
        <f>IF(DiscreteStatsTable[[#This Row],[RepsRequested]]=DiscreteStatsTable[[#This Row],[RepsWithStatObserved]],1,0)</f>
        <v>1</v>
      </c>
    </row>
    <row r="301" spans="1:25" x14ac:dyDescent="0.3">
      <c r="A301" t="s">
        <v>66</v>
      </c>
      <c r="B301" t="s">
        <v>68</v>
      </c>
      <c r="C301">
        <v>9</v>
      </c>
      <c r="D301" t="s">
        <v>90</v>
      </c>
      <c r="E301" t="s">
        <v>83</v>
      </c>
      <c r="F301" t="s">
        <v>82</v>
      </c>
      <c r="G301">
        <v>0</v>
      </c>
      <c r="H301">
        <v>2E+20</v>
      </c>
      <c r="I301">
        <v>0</v>
      </c>
      <c r="J301">
        <v>0</v>
      </c>
      <c r="K301">
        <v>12</v>
      </c>
      <c r="L301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10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11.4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10</v>
      </c>
      <c r="Y301" s="5">
        <f>IF(DiscreteStatsTable[[#This Row],[RepsRequested]]=DiscreteStatsTable[[#This Row],[RepsWithStatObserved]],1,0)</f>
        <v>1</v>
      </c>
    </row>
    <row r="302" spans="1:25" x14ac:dyDescent="0.3">
      <c r="A302" t="s">
        <v>66</v>
      </c>
      <c r="B302" t="s">
        <v>68</v>
      </c>
      <c r="C302">
        <v>9</v>
      </c>
      <c r="D302" t="s">
        <v>90</v>
      </c>
      <c r="E302" t="s">
        <v>84</v>
      </c>
      <c r="F302" t="s">
        <v>82</v>
      </c>
      <c r="G302">
        <v>56.431695557412802</v>
      </c>
      <c r="H302">
        <v>2E+20</v>
      </c>
      <c r="I302">
        <v>35.123754584928101</v>
      </c>
      <c r="J302">
        <v>77.777697900936801</v>
      </c>
      <c r="K302">
        <v>12</v>
      </c>
      <c r="L302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10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50.580256818777187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5.7250108439810763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43.309307456693901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57.852123951402099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30.9310144170956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96.993071741156299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11.4</v>
      </c>
      <c r="W302" s="5">
        <f>IF((DiscreteStatsTable[[#This Row],[RepsRequested]]&gt;1),DiscreteStatsTable[[#This Row],[HalfWidth]],DiscreteStatsTable[[#This Row],[BatchMeansHalfWidth]])</f>
        <v>4.0954260439988062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10</v>
      </c>
      <c r="Y302" s="5">
        <f>IF(DiscreteStatsTable[[#This Row],[RepsRequested]]=DiscreteStatsTable[[#This Row],[RepsWithStatObserved]],1,0)</f>
        <v>1</v>
      </c>
    </row>
    <row r="303" spans="1:25" x14ac:dyDescent="0.3">
      <c r="A303" t="s">
        <v>66</v>
      </c>
      <c r="B303" t="s">
        <v>68</v>
      </c>
      <c r="C303">
        <v>9</v>
      </c>
      <c r="D303" t="s">
        <v>90</v>
      </c>
      <c r="E303" t="s">
        <v>85</v>
      </c>
      <c r="F303" t="s">
        <v>82</v>
      </c>
      <c r="G303">
        <v>9</v>
      </c>
      <c r="H303">
        <v>2E+20</v>
      </c>
      <c r="I303">
        <v>9</v>
      </c>
      <c r="J303">
        <v>9</v>
      </c>
      <c r="K303">
        <v>12</v>
      </c>
      <c r="L303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10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9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9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9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8.9999999999999893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11.4</v>
      </c>
      <c r="W303" s="5">
        <f>IF((DiscreteStatsTable[[#This Row],[RepsRequested]]&gt;1),DiscreteStatsTable[[#This Row],[HalfWidth]],DiscreteStatsTable[[#This Row],[BatchMeansHalfWidth]])</f>
        <v>0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10</v>
      </c>
      <c r="Y303" s="5">
        <f>IF(DiscreteStatsTable[[#This Row],[RepsRequested]]=DiscreteStatsTable[[#This Row],[RepsWithStatObserved]],1,0)</f>
        <v>1</v>
      </c>
    </row>
    <row r="304" spans="1:25" x14ac:dyDescent="0.3">
      <c r="A304" t="s">
        <v>66</v>
      </c>
      <c r="B304" t="s">
        <v>68</v>
      </c>
      <c r="C304">
        <v>9</v>
      </c>
      <c r="D304" t="s">
        <v>90</v>
      </c>
      <c r="E304" t="s">
        <v>86</v>
      </c>
      <c r="F304" t="s">
        <v>82</v>
      </c>
      <c r="G304">
        <v>23.784334030263</v>
      </c>
      <c r="H304">
        <v>2E+20</v>
      </c>
      <c r="I304">
        <v>20.0647667227115</v>
      </c>
      <c r="J304">
        <v>30.3404073957776</v>
      </c>
      <c r="K304">
        <v>12</v>
      </c>
      <c r="L304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10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24.06400550570951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0.62394007710817145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23.230521307253401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25.169251972104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17.9684813596824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30.3404073957776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11.4</v>
      </c>
      <c r="W304" s="5">
        <f>IF((DiscreteStatsTable[[#This Row],[RepsRequested]]&gt;1),DiscreteStatsTable[[#This Row],[HalfWidth]],DiscreteStatsTable[[#This Row],[BatchMeansHalfWidth]])</f>
        <v>0.44633984307119945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10</v>
      </c>
      <c r="Y304" s="5">
        <f>IF(DiscreteStatsTable[[#This Row],[RepsRequested]]=DiscreteStatsTable[[#This Row],[RepsWithStatObserved]],1,0)</f>
        <v>1</v>
      </c>
    </row>
    <row r="305" spans="1:25" x14ac:dyDescent="0.3">
      <c r="A305" t="s">
        <v>66</v>
      </c>
      <c r="B305" t="s">
        <v>68</v>
      </c>
      <c r="C305">
        <v>9</v>
      </c>
      <c r="D305" t="s">
        <v>90</v>
      </c>
      <c r="E305" t="s">
        <v>87</v>
      </c>
      <c r="F305" t="s">
        <v>82</v>
      </c>
      <c r="G305">
        <v>23.647361527149801</v>
      </c>
      <c r="H305">
        <v>2E+20</v>
      </c>
      <c r="I305">
        <v>0</v>
      </c>
      <c r="J305">
        <v>43.852403630377502</v>
      </c>
      <c r="K305">
        <v>12</v>
      </c>
      <c r="L305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10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17.516251313067688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5.7722479534784288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9.7059079475153691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24.269237976286799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65.514510493787597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11.4</v>
      </c>
      <c r="W305" s="5">
        <f>IF((DiscreteStatsTable[[#This Row],[RepsRequested]]&gt;1),DiscreteStatsTable[[#This Row],[HalfWidth]],DiscreteStatsTable[[#This Row],[BatchMeansHalfWidth]])</f>
        <v>4.1292174364958303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10</v>
      </c>
      <c r="Y305" s="5">
        <f>IF(DiscreteStatsTable[[#This Row],[RepsRequested]]=DiscreteStatsTable[[#This Row],[RepsWithStatObserved]],1,0)</f>
        <v>1</v>
      </c>
    </row>
    <row r="306" spans="1:25" x14ac:dyDescent="0.3">
      <c r="A306" t="s">
        <v>66</v>
      </c>
      <c r="B306" t="s">
        <v>68</v>
      </c>
      <c r="C306">
        <v>10</v>
      </c>
      <c r="D306" t="s">
        <v>90</v>
      </c>
      <c r="E306" t="s">
        <v>81</v>
      </c>
      <c r="F306" t="s">
        <v>82</v>
      </c>
      <c r="G306">
        <v>0</v>
      </c>
      <c r="H306">
        <v>2E+20</v>
      </c>
      <c r="I306">
        <v>0</v>
      </c>
      <c r="J306">
        <v>0</v>
      </c>
      <c r="K306">
        <v>11</v>
      </c>
      <c r="L306" s="5" t="str">
        <f>DiscreteStatsTable[[#This Row],[ProjectName]]&amp;DiscreteStatsTable[[#This Row],[Name]]&amp;DiscreteStatsTable[[#This Row],[Type]]&amp;DiscreteStatsTable[[#This Row],[Source]]</f>
        <v>Unnamed ProjectType4NVA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10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11.4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10</v>
      </c>
      <c r="Y306" s="5">
        <f>IF(DiscreteStatsTable[[#This Row],[RepsRequested]]=DiscreteStatsTable[[#This Row],[RepsWithStatObserved]],1,0)</f>
        <v>1</v>
      </c>
    </row>
    <row r="307" spans="1:25" x14ac:dyDescent="0.3">
      <c r="A307" t="s">
        <v>66</v>
      </c>
      <c r="B307" t="s">
        <v>68</v>
      </c>
      <c r="C307">
        <v>10</v>
      </c>
      <c r="D307" t="s">
        <v>90</v>
      </c>
      <c r="E307" t="s">
        <v>83</v>
      </c>
      <c r="F307" t="s">
        <v>82</v>
      </c>
      <c r="G307">
        <v>0</v>
      </c>
      <c r="H307">
        <v>2E+20</v>
      </c>
      <c r="I307">
        <v>0</v>
      </c>
      <c r="J307">
        <v>0</v>
      </c>
      <c r="K307">
        <v>11</v>
      </c>
      <c r="L307" s="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10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11.4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10</v>
      </c>
      <c r="Y307" s="5">
        <f>IF(DiscreteStatsTable[[#This Row],[RepsRequested]]=DiscreteStatsTable[[#This Row],[RepsWithStatObserved]],1,0)</f>
        <v>1</v>
      </c>
    </row>
    <row r="308" spans="1:25" x14ac:dyDescent="0.3">
      <c r="A308" t="s">
        <v>66</v>
      </c>
      <c r="B308" t="s">
        <v>68</v>
      </c>
      <c r="C308">
        <v>10</v>
      </c>
      <c r="D308" t="s">
        <v>90</v>
      </c>
      <c r="E308" t="s">
        <v>84</v>
      </c>
      <c r="F308" t="s">
        <v>82</v>
      </c>
      <c r="G308">
        <v>53.905373591095497</v>
      </c>
      <c r="H308">
        <v>2E+20</v>
      </c>
      <c r="I308">
        <v>33.084702377688899</v>
      </c>
      <c r="J308">
        <v>74.600760097779002</v>
      </c>
      <c r="K308">
        <v>11</v>
      </c>
      <c r="L308" s="5" t="str">
        <f>DiscreteStatsTable[[#This Row],[ProjectName]]&amp;DiscreteStatsTable[[#This Row],[Name]]&amp;DiscreteStatsTable[[#This Row],[Type]]&amp;DiscreteStatsTable[[#This Row],[Source]]</f>
        <v>Unnamed ProjectType4Total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10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50.580256818777187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5.7250108439810763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4.0954260439988062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43.309307456693901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57.852123951402099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30.9310144170956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96.993071741156299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11.4</v>
      </c>
      <c r="W308" s="5">
        <f>IF((DiscreteStatsTable[[#This Row],[RepsRequested]]&gt;1),DiscreteStatsTable[[#This Row],[HalfWidth]],DiscreteStatsTable[[#This Row],[BatchMeansHalfWidth]])</f>
        <v>4.0954260439988062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10</v>
      </c>
      <c r="Y308" s="5">
        <f>IF(DiscreteStatsTable[[#This Row],[RepsRequested]]=DiscreteStatsTable[[#This Row],[RepsWithStatObserved]],1,0)</f>
        <v>1</v>
      </c>
    </row>
    <row r="309" spans="1:25" x14ac:dyDescent="0.3">
      <c r="A309" t="s">
        <v>66</v>
      </c>
      <c r="B309" t="s">
        <v>68</v>
      </c>
      <c r="C309">
        <v>10</v>
      </c>
      <c r="D309" t="s">
        <v>90</v>
      </c>
      <c r="E309" t="s">
        <v>85</v>
      </c>
      <c r="F309" t="s">
        <v>82</v>
      </c>
      <c r="G309">
        <v>9</v>
      </c>
      <c r="H309">
        <v>2E+20</v>
      </c>
      <c r="I309">
        <v>9</v>
      </c>
      <c r="J309">
        <v>9</v>
      </c>
      <c r="K309">
        <v>11</v>
      </c>
      <c r="L309" s="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10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9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9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9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8.9999999999999893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11.4</v>
      </c>
      <c r="W309" s="5">
        <f>IF((DiscreteStatsTable[[#This Row],[RepsRequested]]&gt;1),DiscreteStatsTable[[#This Row],[HalfWidth]],DiscreteStatsTable[[#This Row],[BatchMeansHalfWidth]])</f>
        <v>0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10</v>
      </c>
      <c r="Y309" s="5">
        <f>IF(DiscreteStatsTable[[#This Row],[RepsRequested]]=DiscreteStatsTable[[#This Row],[RepsWithStatObserved]],1,0)</f>
        <v>1</v>
      </c>
    </row>
    <row r="310" spans="1:25" x14ac:dyDescent="0.3">
      <c r="A310" t="s">
        <v>66</v>
      </c>
      <c r="B310" t="s">
        <v>68</v>
      </c>
      <c r="C310">
        <v>10</v>
      </c>
      <c r="D310" t="s">
        <v>90</v>
      </c>
      <c r="E310" t="s">
        <v>86</v>
      </c>
      <c r="F310" t="s">
        <v>82</v>
      </c>
      <c r="G310">
        <v>23.360668883991401</v>
      </c>
      <c r="H310">
        <v>2E+20</v>
      </c>
      <c r="I310">
        <v>21.026628972442001</v>
      </c>
      <c r="J310">
        <v>27.2232723519896</v>
      </c>
      <c r="K310">
        <v>11</v>
      </c>
      <c r="L310" s="5" t="str">
        <f>DiscreteStatsTable[[#This Row],[ProjectName]]&amp;DiscreteStatsTable[[#This Row],[Name]]&amp;DiscreteStatsTable[[#This Row],[Type]]&amp;DiscreteStatsTable[[#This Row],[Source]]</f>
        <v>Unnamed ProjectType4VA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10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24.06400550570951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0.62394007710817145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0.44633984307119945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23.230521307253401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25.169251972104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17.9684813596824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30.3404073957776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11.4</v>
      </c>
      <c r="W310" s="5">
        <f>IF((DiscreteStatsTable[[#This Row],[RepsRequested]]&gt;1),DiscreteStatsTable[[#This Row],[HalfWidth]],DiscreteStatsTable[[#This Row],[BatchMeansHalfWidth]])</f>
        <v>0.44633984307119945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10</v>
      </c>
      <c r="Y310" s="5">
        <f>IF(DiscreteStatsTable[[#This Row],[RepsRequested]]=DiscreteStatsTable[[#This Row],[RepsWithStatObserved]],1,0)</f>
        <v>1</v>
      </c>
    </row>
    <row r="311" spans="1:25" x14ac:dyDescent="0.3">
      <c r="A311" t="s">
        <v>66</v>
      </c>
      <c r="B311" t="s">
        <v>68</v>
      </c>
      <c r="C311">
        <v>10</v>
      </c>
      <c r="D311" t="s">
        <v>90</v>
      </c>
      <c r="E311" t="s">
        <v>87</v>
      </c>
      <c r="F311" t="s">
        <v>82</v>
      </c>
      <c r="G311">
        <v>21.544704707104099</v>
      </c>
      <c r="H311">
        <v>2E+20</v>
      </c>
      <c r="I311">
        <v>0</v>
      </c>
      <c r="J311">
        <v>42.097429889922502</v>
      </c>
      <c r="K311">
        <v>11</v>
      </c>
      <c r="L311" s="5" t="str">
        <f>DiscreteStatsTable[[#This Row],[ProjectName]]&amp;DiscreteStatsTable[[#This Row],[Name]]&amp;DiscreteStatsTable[[#This Row],[Type]]&amp;DiscreteStatsTable[[#This Row],[Source]]</f>
        <v>Unnamed ProjectType4Wait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10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17.516251313067688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5.7722479534784288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4.1292174364958303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9.7059079475153691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24.269237976286799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65.514510493787597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11.4</v>
      </c>
      <c r="W311" s="5">
        <f>IF((DiscreteStatsTable[[#This Row],[RepsRequested]]&gt;1),DiscreteStatsTable[[#This Row],[HalfWidth]],DiscreteStatsTable[[#This Row],[BatchMeansHalfWidth]])</f>
        <v>4.1292174364958303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10</v>
      </c>
      <c r="Y311" s="5">
        <f>IF(DiscreteStatsTable[[#This Row],[RepsRequested]]=DiscreteStatsTable[[#This Row],[RepsWithStatObserved]],1,0)</f>
        <v>1</v>
      </c>
    </row>
  </sheetData>
  <phoneticPr fontId="2" type="noConversion"/>
  <conditionalFormatting sqref="H2:H311 Q2:Q311">
    <cfRule type="expression" dxfId="27" priority="23">
      <formula>H2=200000000000000000000</formula>
    </cfRule>
  </conditionalFormatting>
  <conditionalFormatting sqref="H2:H311">
    <cfRule type="expression" dxfId="26" priority="21">
      <formula>H2=300000000000000000000</formula>
    </cfRule>
  </conditionalFormatting>
  <conditionalFormatting sqref="L2:Y311">
    <cfRule type="expression" dxfId="25" priority="19">
      <formula>MOD(ROW(),2)=0</formula>
    </cfRule>
  </conditionalFormatting>
  <conditionalFormatting sqref="Y2:Y311">
    <cfRule type="expression" dxfId="24" priority="14">
      <formula>Y2=0</formula>
    </cfRule>
    <cfRule type="expression" dxfId="23" priority="16">
      <formula>Y2=1</formula>
    </cfRule>
  </conditionalFormatting>
  <conditionalFormatting sqref="Y3:Y311">
    <cfRule type="expression" dxfId="22" priority="15">
      <formula>Y3=1</formula>
    </cfRule>
  </conditionalFormatting>
  <conditionalFormatting sqref="W2:W3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311 W2:W3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71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4.664062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1.77734375" bestFit="1" customWidth="1"/>
    <col min="11" max="11" width="19.44140625" bestFit="1" customWidth="1"/>
    <col min="12" max="12" width="11.33203125" bestFit="1" customWidth="1"/>
    <col min="13" max="13" width="52.44140625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93</v>
      </c>
      <c r="G2">
        <v>0.80135542616927102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0.70923148168898098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0.92513911074198196</v>
      </c>
      <c r="U2">
        <f>IF((ContinuousStatsTable[[#This Row],[RepsRequested]]&gt;1),ContinuousStatsTable[[#This Row],[HalfWidth]],ContinuousStatsTable[[#This Row],[BatchMeansHalfWidth]])</f>
        <v>4.617487688207024E-2</v>
      </c>
    </row>
    <row r="3" spans="1:21" x14ac:dyDescent="0.3">
      <c r="A3" t="s">
        <v>66</v>
      </c>
      <c r="B3" t="s">
        <v>68</v>
      </c>
      <c r="C3">
        <v>1</v>
      </c>
      <c r="D3" t="s">
        <v>91</v>
      </c>
      <c r="E3" t="s">
        <v>94</v>
      </c>
      <c r="F3" t="s">
        <v>93</v>
      </c>
      <c r="G3">
        <v>0.80135542616927102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0.70923148168898098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0.92513911074198196</v>
      </c>
      <c r="U3">
        <f>IF((ContinuousStatsTable[[#This Row],[RepsRequested]]&gt;1),ContinuousStatsTable[[#This Row],[HalfWidth]],ContinuousStatsTable[[#This Row],[BatchMeansHalfWidth]])</f>
        <v>4.617487688207024E-2</v>
      </c>
    </row>
    <row r="4" spans="1:21" x14ac:dyDescent="0.3">
      <c r="A4" t="s">
        <v>66</v>
      </c>
      <c r="B4" t="s">
        <v>68</v>
      </c>
      <c r="C4">
        <v>1</v>
      </c>
      <c r="D4" t="s">
        <v>91</v>
      </c>
      <c r="E4" t="s">
        <v>95</v>
      </c>
      <c r="F4" t="s">
        <v>93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68</v>
      </c>
      <c r="C5">
        <v>1</v>
      </c>
      <c r="D5" t="s">
        <v>96</v>
      </c>
      <c r="E5" t="s">
        <v>92</v>
      </c>
      <c r="F5" t="s">
        <v>93</v>
      </c>
      <c r="G5">
        <v>0.902007440428508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0.71728584076343305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0.91938608785018705</v>
      </c>
      <c r="U5">
        <f>IF((ContinuousStatsTable[[#This Row],[RepsRequested]]&gt;1),ContinuousStatsTable[[#This Row],[HalfWidth]],ContinuousStatsTable[[#This Row],[BatchMeansHalfWidth]])</f>
        <v>4.3798869913993184E-2</v>
      </c>
    </row>
    <row r="6" spans="1:21" x14ac:dyDescent="0.3">
      <c r="A6" t="s">
        <v>66</v>
      </c>
      <c r="B6" t="s">
        <v>68</v>
      </c>
      <c r="C6">
        <v>1</v>
      </c>
      <c r="D6" t="s">
        <v>96</v>
      </c>
      <c r="E6" t="s">
        <v>94</v>
      </c>
      <c r="F6" t="s">
        <v>93</v>
      </c>
      <c r="G6">
        <v>0.902007440428508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0.71728584076343305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0.91938608785018705</v>
      </c>
      <c r="U6">
        <f>IF((ContinuousStatsTable[[#This Row],[RepsRequested]]&gt;1),ContinuousStatsTable[[#This Row],[HalfWidth]],ContinuousStatsTable[[#This Row],[BatchMeansHalfWidth]])</f>
        <v>4.3798869913993184E-2</v>
      </c>
    </row>
    <row r="7" spans="1:21" x14ac:dyDescent="0.3">
      <c r="A7" t="s">
        <v>66</v>
      </c>
      <c r="B7" t="s">
        <v>68</v>
      </c>
      <c r="C7">
        <v>1</v>
      </c>
      <c r="D7" t="s">
        <v>96</v>
      </c>
      <c r="E7" t="s">
        <v>95</v>
      </c>
      <c r="F7" t="s">
        <v>93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A8" t="s">
        <v>66</v>
      </c>
      <c r="B8" t="s">
        <v>68</v>
      </c>
      <c r="C8">
        <v>1</v>
      </c>
      <c r="D8" t="s">
        <v>97</v>
      </c>
      <c r="E8" t="s">
        <v>92</v>
      </c>
      <c r="F8" t="s">
        <v>93</v>
      </c>
      <c r="G8">
        <v>0.82487352272256997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0.69586636126078405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0.89372434220669095</v>
      </c>
      <c r="U8">
        <f>IF((ContinuousStatsTable[[#This Row],[RepsRequested]]&gt;1),ContinuousStatsTable[[#This Row],[HalfWidth]],ContinuousStatsTable[[#This Row],[BatchMeansHalfWidth]])</f>
        <v>4.8321681102076373E-2</v>
      </c>
    </row>
    <row r="9" spans="1:21" x14ac:dyDescent="0.3">
      <c r="A9" t="s">
        <v>66</v>
      </c>
      <c r="B9" t="s">
        <v>68</v>
      </c>
      <c r="C9">
        <v>1</v>
      </c>
      <c r="D9" t="s">
        <v>97</v>
      </c>
      <c r="E9" t="s">
        <v>94</v>
      </c>
      <c r="F9" t="s">
        <v>93</v>
      </c>
      <c r="G9">
        <v>0.82487352272256997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0.69586636126078405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0.89372434220669095</v>
      </c>
      <c r="U9">
        <f>IF((ContinuousStatsTable[[#This Row],[RepsRequested]]&gt;1),ContinuousStatsTable[[#This Row],[HalfWidth]],ContinuousStatsTable[[#This Row],[BatchMeansHalfWidth]])</f>
        <v>4.8321681102076373E-2</v>
      </c>
    </row>
    <row r="10" spans="1:21" x14ac:dyDescent="0.3">
      <c r="A10" t="s">
        <v>66</v>
      </c>
      <c r="B10" t="s">
        <v>68</v>
      </c>
      <c r="C10">
        <v>1</v>
      </c>
      <c r="D10" t="s">
        <v>97</v>
      </c>
      <c r="E10" t="s">
        <v>95</v>
      </c>
      <c r="F10" t="s">
        <v>93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1</v>
      </c>
      <c r="D11" t="s">
        <v>98</v>
      </c>
      <c r="E11" t="s">
        <v>99</v>
      </c>
      <c r="F11" t="s">
        <v>82</v>
      </c>
      <c r="G11">
        <v>0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68</v>
      </c>
      <c r="C12">
        <v>1</v>
      </c>
      <c r="D12" t="s">
        <v>69</v>
      </c>
      <c r="E12" t="s">
        <v>100</v>
      </c>
      <c r="F12" t="s">
        <v>71</v>
      </c>
      <c r="G12">
        <v>0.29239893661271898</v>
      </c>
      <c r="H12">
        <v>2E+20</v>
      </c>
      <c r="I12">
        <v>0</v>
      </c>
      <c r="J12">
        <v>2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0.112285312750481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1.1577111225029799</v>
      </c>
      <c r="U12">
        <f>IF((ContinuousStatsTable[[#This Row],[RepsRequested]]&gt;1),ContinuousStatsTable[[#This Row],[HalfWidth]],ContinuousStatsTable[[#This Row],[BatchMeansHalfWidth]])</f>
        <v>0.21814478487117156</v>
      </c>
    </row>
    <row r="13" spans="1:21" x14ac:dyDescent="0.3">
      <c r="A13" t="s">
        <v>66</v>
      </c>
      <c r="B13" t="s">
        <v>68</v>
      </c>
      <c r="C13">
        <v>1</v>
      </c>
      <c r="D13" t="s">
        <v>72</v>
      </c>
      <c r="E13" t="s">
        <v>100</v>
      </c>
      <c r="F13" t="s">
        <v>71</v>
      </c>
      <c r="G13">
        <v>1.15248185781424</v>
      </c>
      <c r="H13">
        <v>2E+20</v>
      </c>
      <c r="I13">
        <v>0</v>
      </c>
      <c r="J13">
        <v>4</v>
      </c>
      <c r="K13">
        <v>4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0.14331492780305599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1.4544545357388801</v>
      </c>
      <c r="U13">
        <f>IF((ContinuousStatsTable[[#This Row],[RepsRequested]]&gt;1),ContinuousStatsTable[[#This Row],[HalfWidth]],ContinuousStatsTable[[#This Row],[BatchMeansHalfWidth]])</f>
        <v>0.28551832117895298</v>
      </c>
    </row>
    <row r="14" spans="1:21" x14ac:dyDescent="0.3">
      <c r="A14" t="s">
        <v>66</v>
      </c>
      <c r="B14" t="s">
        <v>68</v>
      </c>
      <c r="C14">
        <v>1</v>
      </c>
      <c r="D14" t="s">
        <v>73</v>
      </c>
      <c r="E14" t="s">
        <v>100</v>
      </c>
      <c r="F14" t="s">
        <v>71</v>
      </c>
      <c r="G14">
        <v>0.67499830178485298</v>
      </c>
      <c r="H14">
        <v>2E+20</v>
      </c>
      <c r="I14">
        <v>0</v>
      </c>
      <c r="J14">
        <v>3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0.21331563144656099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1.22637838136578</v>
      </c>
      <c r="U14">
        <f>IF((ContinuousStatsTable[[#This Row],[RepsRequested]]&gt;1),ContinuousStatsTable[[#This Row],[HalfWidth]],ContinuousStatsTable[[#This Row],[BatchMeansHalfWidth]])</f>
        <v>0.22870353772187338</v>
      </c>
    </row>
    <row r="15" spans="1:21" x14ac:dyDescent="0.3">
      <c r="A15" t="s">
        <v>66</v>
      </c>
      <c r="B15" t="s">
        <v>68</v>
      </c>
      <c r="C15">
        <v>1</v>
      </c>
      <c r="D15" t="s">
        <v>80</v>
      </c>
      <c r="E15" t="s">
        <v>99</v>
      </c>
      <c r="F15" t="s">
        <v>82</v>
      </c>
      <c r="G15">
        <v>0.96722101179162301</v>
      </c>
      <c r="H15">
        <v>2E+20</v>
      </c>
      <c r="I15">
        <v>0</v>
      </c>
      <c r="J15">
        <v>3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0.73791054391385202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2.0648494861280899</v>
      </c>
      <c r="U15">
        <f>IF((ContinuousStatsTable[[#This Row],[RepsRequested]]&gt;1),ContinuousStatsTable[[#This Row],[HalfWidth]],ContinuousStatsTable[[#This Row],[BatchMeansHalfWidth]])</f>
        <v>0.28423495041220082</v>
      </c>
    </row>
    <row r="16" spans="1:21" x14ac:dyDescent="0.3">
      <c r="A16" t="s">
        <v>66</v>
      </c>
      <c r="B16" t="s">
        <v>68</v>
      </c>
      <c r="C16">
        <v>1</v>
      </c>
      <c r="D16" t="s">
        <v>88</v>
      </c>
      <c r="E16" t="s">
        <v>99</v>
      </c>
      <c r="F16" t="s">
        <v>82</v>
      </c>
      <c r="G16">
        <v>2.06949400203548</v>
      </c>
      <c r="H16">
        <v>2E+20</v>
      </c>
      <c r="I16">
        <v>0</v>
      </c>
      <c r="J16">
        <v>5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1.2311050618933901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2.06949400203548</v>
      </c>
      <c r="U16">
        <f>IF((ContinuousStatsTable[[#This Row],[RepsRequested]]&gt;1),ContinuousStatsTable[[#This Row],[HalfWidth]],ContinuousStatsTable[[#This Row],[BatchMeansHalfWidth]])</f>
        <v>0.2005202009511077</v>
      </c>
    </row>
    <row r="17" spans="1:21" x14ac:dyDescent="0.3">
      <c r="A17" t="s">
        <v>66</v>
      </c>
      <c r="B17" t="s">
        <v>68</v>
      </c>
      <c r="C17">
        <v>1</v>
      </c>
      <c r="D17" t="s">
        <v>89</v>
      </c>
      <c r="E17" t="s">
        <v>99</v>
      </c>
      <c r="F17" t="s">
        <v>82</v>
      </c>
      <c r="G17">
        <v>0.81301403958667195</v>
      </c>
      <c r="H17">
        <v>2E+20</v>
      </c>
      <c r="I17">
        <v>0</v>
      </c>
      <c r="J17">
        <v>3</v>
      </c>
      <c r="K17">
        <v>2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0.61363727304496296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1.6623255879926</v>
      </c>
      <c r="U17">
        <f>IF((ContinuousStatsTable[[#This Row],[RepsRequested]]&gt;1),ContinuousStatsTable[[#This Row],[HalfWidth]],ContinuousStatsTable[[#This Row],[BatchMeansHalfWidth]])</f>
        <v>0.25768116607482183</v>
      </c>
    </row>
    <row r="18" spans="1:21" x14ac:dyDescent="0.3">
      <c r="A18" t="s">
        <v>66</v>
      </c>
      <c r="B18" t="s">
        <v>68</v>
      </c>
      <c r="C18">
        <v>1</v>
      </c>
      <c r="D18" t="s">
        <v>90</v>
      </c>
      <c r="E18" t="s">
        <v>99</v>
      </c>
      <c r="F18" t="s">
        <v>82</v>
      </c>
      <c r="G18">
        <v>1.71713643211839</v>
      </c>
      <c r="H18">
        <v>2E+20</v>
      </c>
      <c r="I18">
        <v>0</v>
      </c>
      <c r="J18">
        <v>4</v>
      </c>
      <c r="K18">
        <v>4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0.82142168923556802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1.71735388547157</v>
      </c>
      <c r="U18">
        <f>IF((ContinuousStatsTable[[#This Row],[RepsRequested]]&gt;1),ContinuousStatsTable[[#This Row],[HalfWidth]],ContinuousStatsTable[[#This Row],[BatchMeansHalfWidth]])</f>
        <v>0.21990226582093259</v>
      </c>
    </row>
    <row r="19" spans="1:21" x14ac:dyDescent="0.3">
      <c r="A19" t="s">
        <v>66</v>
      </c>
      <c r="B19" t="s">
        <v>68</v>
      </c>
      <c r="C19">
        <v>2</v>
      </c>
      <c r="D19" t="s">
        <v>91</v>
      </c>
      <c r="E19" t="s">
        <v>92</v>
      </c>
      <c r="F19" t="s">
        <v>93</v>
      </c>
      <c r="G19">
        <v>0.89145105084620302</v>
      </c>
      <c r="H19">
        <v>2E+20</v>
      </c>
      <c r="I19">
        <v>0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0.70923148168898098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0.92513911074198196</v>
      </c>
      <c r="U19">
        <f>IF((ContinuousStatsTable[[#This Row],[RepsRequested]]&gt;1),ContinuousStatsTable[[#This Row],[HalfWidth]],ContinuousStatsTable[[#This Row],[BatchMeansHalfWidth]])</f>
        <v>4.617487688207024E-2</v>
      </c>
    </row>
    <row r="20" spans="1:21" x14ac:dyDescent="0.3">
      <c r="A20" t="s">
        <v>66</v>
      </c>
      <c r="B20" t="s">
        <v>68</v>
      </c>
      <c r="C20">
        <v>2</v>
      </c>
      <c r="D20" t="s">
        <v>91</v>
      </c>
      <c r="E20" t="s">
        <v>94</v>
      </c>
      <c r="F20" t="s">
        <v>93</v>
      </c>
      <c r="G20">
        <v>0.89145105084620302</v>
      </c>
      <c r="H20">
        <v>2E+20</v>
      </c>
      <c r="I20">
        <v>0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0.70923148168898098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0.92513911074198196</v>
      </c>
      <c r="U20">
        <f>IF((ContinuousStatsTable[[#This Row],[RepsRequested]]&gt;1),ContinuousStatsTable[[#This Row],[HalfWidth]],ContinuousStatsTable[[#This Row],[BatchMeansHalfWidth]])</f>
        <v>4.617487688207024E-2</v>
      </c>
    </row>
    <row r="21" spans="1:21" x14ac:dyDescent="0.3">
      <c r="A21" t="s">
        <v>66</v>
      </c>
      <c r="B21" t="s">
        <v>68</v>
      </c>
      <c r="C21">
        <v>2</v>
      </c>
      <c r="D21" t="s">
        <v>91</v>
      </c>
      <c r="E21" t="s">
        <v>95</v>
      </c>
      <c r="F21" t="s">
        <v>93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68</v>
      </c>
      <c r="C22">
        <v>2</v>
      </c>
      <c r="D22" t="s">
        <v>96</v>
      </c>
      <c r="E22" t="s">
        <v>92</v>
      </c>
      <c r="F22" t="s">
        <v>93</v>
      </c>
      <c r="G22">
        <v>0.870326788161501</v>
      </c>
      <c r="H22">
        <v>2E+20</v>
      </c>
      <c r="I22">
        <v>0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0.71728584076343305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0.91938608785018705</v>
      </c>
      <c r="U22">
        <f>IF((ContinuousStatsTable[[#This Row],[RepsRequested]]&gt;1),ContinuousStatsTable[[#This Row],[HalfWidth]],ContinuousStatsTable[[#This Row],[BatchMeansHalfWidth]])</f>
        <v>4.3798869913993184E-2</v>
      </c>
    </row>
    <row r="23" spans="1:21" x14ac:dyDescent="0.3">
      <c r="A23" t="s">
        <v>66</v>
      </c>
      <c r="B23" t="s">
        <v>68</v>
      </c>
      <c r="C23">
        <v>2</v>
      </c>
      <c r="D23" t="s">
        <v>96</v>
      </c>
      <c r="E23" t="s">
        <v>94</v>
      </c>
      <c r="F23" t="s">
        <v>93</v>
      </c>
      <c r="G23">
        <v>0.870326788161501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0.71728584076343305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0.91938608785018705</v>
      </c>
      <c r="U23">
        <f>IF((ContinuousStatsTable[[#This Row],[RepsRequested]]&gt;1),ContinuousStatsTable[[#This Row],[HalfWidth]],ContinuousStatsTable[[#This Row],[BatchMeansHalfWidth]])</f>
        <v>4.3798869913993184E-2</v>
      </c>
    </row>
    <row r="24" spans="1:21" x14ac:dyDescent="0.3">
      <c r="A24" t="s">
        <v>66</v>
      </c>
      <c r="B24" t="s">
        <v>68</v>
      </c>
      <c r="C24">
        <v>2</v>
      </c>
      <c r="D24" t="s">
        <v>96</v>
      </c>
      <c r="E24" t="s">
        <v>95</v>
      </c>
      <c r="F24" t="s">
        <v>93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68</v>
      </c>
      <c r="C25">
        <v>2</v>
      </c>
      <c r="D25" t="s">
        <v>97</v>
      </c>
      <c r="E25" t="s">
        <v>92</v>
      </c>
      <c r="F25" t="s">
        <v>93</v>
      </c>
      <c r="G25">
        <v>0.70782288620545397</v>
      </c>
      <c r="H25">
        <v>2E+20</v>
      </c>
      <c r="I25">
        <v>0</v>
      </c>
      <c r="J25">
        <v>1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0.69586636126078405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0.89372434220669095</v>
      </c>
      <c r="U25">
        <f>IF((ContinuousStatsTable[[#This Row],[RepsRequested]]&gt;1),ContinuousStatsTable[[#This Row],[HalfWidth]],ContinuousStatsTable[[#This Row],[BatchMeansHalfWidth]])</f>
        <v>4.8321681102076373E-2</v>
      </c>
    </row>
    <row r="26" spans="1:21" x14ac:dyDescent="0.3">
      <c r="A26" t="s">
        <v>66</v>
      </c>
      <c r="B26" t="s">
        <v>68</v>
      </c>
      <c r="C26">
        <v>2</v>
      </c>
      <c r="D26" t="s">
        <v>97</v>
      </c>
      <c r="E26" t="s">
        <v>94</v>
      </c>
      <c r="F26" t="s">
        <v>93</v>
      </c>
      <c r="G26">
        <v>0.70782288620545397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0.69586636126078405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0.89372434220669095</v>
      </c>
      <c r="U26">
        <f>IF((ContinuousStatsTable[[#This Row],[RepsRequested]]&gt;1),ContinuousStatsTable[[#This Row],[HalfWidth]],ContinuousStatsTable[[#This Row],[BatchMeansHalfWidth]])</f>
        <v>4.8321681102076373E-2</v>
      </c>
    </row>
    <row r="27" spans="1:21" x14ac:dyDescent="0.3">
      <c r="A27" t="s">
        <v>66</v>
      </c>
      <c r="B27" t="s">
        <v>68</v>
      </c>
      <c r="C27">
        <v>2</v>
      </c>
      <c r="D27" t="s">
        <v>97</v>
      </c>
      <c r="E27" t="s">
        <v>95</v>
      </c>
      <c r="F27" t="s">
        <v>93</v>
      </c>
      <c r="G27">
        <v>1</v>
      </c>
      <c r="H27">
        <v>2E+20</v>
      </c>
      <c r="I27">
        <v>1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3">
      <c r="A28" t="s">
        <v>66</v>
      </c>
      <c r="B28" t="s">
        <v>68</v>
      </c>
      <c r="C28">
        <v>2</v>
      </c>
      <c r="D28" t="s">
        <v>98</v>
      </c>
      <c r="E28" t="s">
        <v>99</v>
      </c>
      <c r="F28" t="s">
        <v>82</v>
      </c>
      <c r="G28">
        <v>0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</v>
      </c>
      <c r="U28">
        <f>IF((ContinuousStatsTable[[#This Row],[RepsRequested]]&gt;1),ContinuousStatsTable[[#This Row],[HalfWidth]],ContinuousStatsTable[[#This Row],[BatchMeansHalfWidth]])</f>
        <v>0</v>
      </c>
    </row>
    <row r="29" spans="1:21" x14ac:dyDescent="0.3">
      <c r="A29" t="s">
        <v>66</v>
      </c>
      <c r="B29" t="s">
        <v>68</v>
      </c>
      <c r="C29">
        <v>2</v>
      </c>
      <c r="D29" t="s">
        <v>69</v>
      </c>
      <c r="E29" t="s">
        <v>100</v>
      </c>
      <c r="F29" t="s">
        <v>71</v>
      </c>
      <c r="G29">
        <v>0.56520269571785997</v>
      </c>
      <c r="H29">
        <v>2E+20</v>
      </c>
      <c r="I29">
        <v>0</v>
      </c>
      <c r="J29">
        <v>2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0.112285312750481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1.1577111225029799</v>
      </c>
      <c r="U29">
        <f>IF((ContinuousStatsTable[[#This Row],[RepsRequested]]&gt;1),ContinuousStatsTable[[#This Row],[HalfWidth]],ContinuousStatsTable[[#This Row],[BatchMeansHalfWidth]])</f>
        <v>0.21814478487117156</v>
      </c>
    </row>
    <row r="30" spans="1:21" x14ac:dyDescent="0.3">
      <c r="A30" t="s">
        <v>66</v>
      </c>
      <c r="B30" t="s">
        <v>68</v>
      </c>
      <c r="C30">
        <v>2</v>
      </c>
      <c r="D30" t="s">
        <v>72</v>
      </c>
      <c r="E30" t="s">
        <v>100</v>
      </c>
      <c r="F30" t="s">
        <v>71</v>
      </c>
      <c r="G30">
        <v>0.58969972979367002</v>
      </c>
      <c r="H30">
        <v>2E+20</v>
      </c>
      <c r="I30">
        <v>0</v>
      </c>
      <c r="J30">
        <v>3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0.14331492780305599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1.4544545357388801</v>
      </c>
      <c r="U30">
        <f>IF((ContinuousStatsTable[[#This Row],[RepsRequested]]&gt;1),ContinuousStatsTable[[#This Row],[HalfWidth]],ContinuousStatsTable[[#This Row],[BatchMeansHalfWidth]])</f>
        <v>0.28551832117895298</v>
      </c>
    </row>
    <row r="31" spans="1:21" x14ac:dyDescent="0.3">
      <c r="A31" t="s">
        <v>66</v>
      </c>
      <c r="B31" t="s">
        <v>68</v>
      </c>
      <c r="C31">
        <v>2</v>
      </c>
      <c r="D31" t="s">
        <v>73</v>
      </c>
      <c r="E31" t="s">
        <v>100</v>
      </c>
      <c r="F31" t="s">
        <v>71</v>
      </c>
      <c r="G31">
        <v>0.39004696697629798</v>
      </c>
      <c r="H31">
        <v>2E+20</v>
      </c>
      <c r="I31">
        <v>0</v>
      </c>
      <c r="J31">
        <v>3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0.21331563144656099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1.22637838136578</v>
      </c>
      <c r="U31">
        <f>IF((ContinuousStatsTable[[#This Row],[RepsRequested]]&gt;1),ContinuousStatsTable[[#This Row],[HalfWidth]],ContinuousStatsTable[[#This Row],[BatchMeansHalfWidth]])</f>
        <v>0.22870353772187338</v>
      </c>
    </row>
    <row r="32" spans="1:21" x14ac:dyDescent="0.3">
      <c r="A32" t="s">
        <v>66</v>
      </c>
      <c r="B32" t="s">
        <v>68</v>
      </c>
      <c r="C32">
        <v>2</v>
      </c>
      <c r="D32" t="s">
        <v>80</v>
      </c>
      <c r="E32" t="s">
        <v>99</v>
      </c>
      <c r="F32" t="s">
        <v>82</v>
      </c>
      <c r="G32">
        <v>0.91852106259337096</v>
      </c>
      <c r="H32">
        <v>2E+20</v>
      </c>
      <c r="I32">
        <v>0</v>
      </c>
      <c r="J32">
        <v>2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0.73791054391385202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2.0648494861280899</v>
      </c>
      <c r="U32">
        <f>IF((ContinuousStatsTable[[#This Row],[RepsRequested]]&gt;1),ContinuousStatsTable[[#This Row],[HalfWidth]],ContinuousStatsTable[[#This Row],[BatchMeansHalfWidth]])</f>
        <v>0.28423495041220082</v>
      </c>
    </row>
    <row r="33" spans="1:21" x14ac:dyDescent="0.3">
      <c r="A33" t="s">
        <v>66</v>
      </c>
      <c r="B33" t="s">
        <v>68</v>
      </c>
      <c r="C33">
        <v>2</v>
      </c>
      <c r="D33" t="s">
        <v>88</v>
      </c>
      <c r="E33" t="s">
        <v>99</v>
      </c>
      <c r="F33" t="s">
        <v>82</v>
      </c>
      <c r="G33">
        <v>1.65454407098985</v>
      </c>
      <c r="H33">
        <v>2E+20</v>
      </c>
      <c r="I33">
        <v>0</v>
      </c>
      <c r="J33">
        <v>4</v>
      </c>
      <c r="K33">
        <v>4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1.2311050618933901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2.06949400203548</v>
      </c>
      <c r="U33">
        <f>IF((ContinuousStatsTable[[#This Row],[RepsRequested]]&gt;1),ContinuousStatsTable[[#This Row],[HalfWidth]],ContinuousStatsTable[[#This Row],[BatchMeansHalfWidth]])</f>
        <v>0.2005202009511077</v>
      </c>
    </row>
    <row r="34" spans="1:21" x14ac:dyDescent="0.3">
      <c r="A34" t="s">
        <v>66</v>
      </c>
      <c r="B34" t="s">
        <v>68</v>
      </c>
      <c r="C34">
        <v>2</v>
      </c>
      <c r="D34" t="s">
        <v>89</v>
      </c>
      <c r="E34" t="s">
        <v>99</v>
      </c>
      <c r="F34" t="s">
        <v>82</v>
      </c>
      <c r="G34">
        <v>1.42163928324445</v>
      </c>
      <c r="H34">
        <v>2E+20</v>
      </c>
      <c r="I34">
        <v>0</v>
      </c>
      <c r="J34">
        <v>4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0.61363727304496296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1.6623255879926</v>
      </c>
      <c r="U34">
        <f>IF((ContinuousStatsTable[[#This Row],[RepsRequested]]&gt;1),ContinuousStatsTable[[#This Row],[HalfWidth]],ContinuousStatsTable[[#This Row],[BatchMeansHalfWidth]])</f>
        <v>0.25768116607482183</v>
      </c>
    </row>
    <row r="35" spans="1:21" x14ac:dyDescent="0.3">
      <c r="A35" t="s">
        <v>66</v>
      </c>
      <c r="B35" t="s">
        <v>68</v>
      </c>
      <c r="C35">
        <v>2</v>
      </c>
      <c r="D35" t="s">
        <v>90</v>
      </c>
      <c r="E35" t="s">
        <v>99</v>
      </c>
      <c r="F35" t="s">
        <v>82</v>
      </c>
      <c r="G35">
        <v>0.93930962303036503</v>
      </c>
      <c r="H35">
        <v>2E+20</v>
      </c>
      <c r="I35">
        <v>0</v>
      </c>
      <c r="J35">
        <v>3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0.82142168923556802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1.71735388547157</v>
      </c>
      <c r="U35">
        <f>IF((ContinuousStatsTable[[#This Row],[RepsRequested]]&gt;1),ContinuousStatsTable[[#This Row],[HalfWidth]],ContinuousStatsTable[[#This Row],[BatchMeansHalfWidth]])</f>
        <v>0.21990226582093259</v>
      </c>
    </row>
    <row r="36" spans="1:21" x14ac:dyDescent="0.3">
      <c r="A36" t="s">
        <v>66</v>
      </c>
      <c r="B36" t="s">
        <v>68</v>
      </c>
      <c r="C36">
        <v>3</v>
      </c>
      <c r="D36" t="s">
        <v>91</v>
      </c>
      <c r="E36" t="s">
        <v>92</v>
      </c>
      <c r="F36" t="s">
        <v>93</v>
      </c>
      <c r="G36">
        <v>0.80803419515763997</v>
      </c>
      <c r="H36">
        <v>2E+20</v>
      </c>
      <c r="I36">
        <v>0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0.70923148168898098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0.92513911074198196</v>
      </c>
      <c r="U36">
        <f>IF((ContinuousStatsTable[[#This Row],[RepsRequested]]&gt;1),ContinuousStatsTable[[#This Row],[HalfWidth]],ContinuousStatsTable[[#This Row],[BatchMeansHalfWidth]])</f>
        <v>4.617487688207024E-2</v>
      </c>
    </row>
    <row r="37" spans="1:21" x14ac:dyDescent="0.3">
      <c r="A37" t="s">
        <v>66</v>
      </c>
      <c r="B37" t="s">
        <v>68</v>
      </c>
      <c r="C37">
        <v>3</v>
      </c>
      <c r="D37" t="s">
        <v>91</v>
      </c>
      <c r="E37" t="s">
        <v>94</v>
      </c>
      <c r="F37" t="s">
        <v>93</v>
      </c>
      <c r="G37">
        <v>0.80803419515763997</v>
      </c>
      <c r="H37">
        <v>2E+20</v>
      </c>
      <c r="I37">
        <v>0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0.70923148168898098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0.92513911074198196</v>
      </c>
      <c r="U37">
        <f>IF((ContinuousStatsTable[[#This Row],[RepsRequested]]&gt;1),ContinuousStatsTable[[#This Row],[HalfWidth]],ContinuousStatsTable[[#This Row],[BatchMeansHalfWidth]])</f>
        <v>4.617487688207024E-2</v>
      </c>
    </row>
    <row r="38" spans="1:21" x14ac:dyDescent="0.3">
      <c r="A38" t="s">
        <v>66</v>
      </c>
      <c r="B38" t="s">
        <v>68</v>
      </c>
      <c r="C38">
        <v>3</v>
      </c>
      <c r="D38" t="s">
        <v>91</v>
      </c>
      <c r="E38" t="s">
        <v>95</v>
      </c>
      <c r="F38" t="s">
        <v>93</v>
      </c>
      <c r="G38">
        <v>1</v>
      </c>
      <c r="H38">
        <v>2E+20</v>
      </c>
      <c r="I38">
        <v>1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3">
      <c r="A39" t="s">
        <v>66</v>
      </c>
      <c r="B39" t="s">
        <v>68</v>
      </c>
      <c r="C39">
        <v>3</v>
      </c>
      <c r="D39" t="s">
        <v>96</v>
      </c>
      <c r="E39" t="s">
        <v>92</v>
      </c>
      <c r="F39" t="s">
        <v>93</v>
      </c>
      <c r="G39">
        <v>0.81794711450151802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0.71728584076343305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0.91938608785018705</v>
      </c>
      <c r="U39">
        <f>IF((ContinuousStatsTable[[#This Row],[RepsRequested]]&gt;1),ContinuousStatsTable[[#This Row],[HalfWidth]],ContinuousStatsTable[[#This Row],[BatchMeansHalfWidth]])</f>
        <v>4.3798869913993184E-2</v>
      </c>
    </row>
    <row r="40" spans="1:21" x14ac:dyDescent="0.3">
      <c r="A40" t="s">
        <v>66</v>
      </c>
      <c r="B40" t="s">
        <v>68</v>
      </c>
      <c r="C40">
        <v>3</v>
      </c>
      <c r="D40" t="s">
        <v>96</v>
      </c>
      <c r="E40" t="s">
        <v>94</v>
      </c>
      <c r="F40" t="s">
        <v>93</v>
      </c>
      <c r="G40">
        <v>0.81794711450151802</v>
      </c>
      <c r="H40">
        <v>2E+20</v>
      </c>
      <c r="I40">
        <v>0</v>
      </c>
      <c r="J40">
        <v>1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0.71728584076343305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0.91938608785018705</v>
      </c>
      <c r="U40">
        <f>IF((ContinuousStatsTable[[#This Row],[RepsRequested]]&gt;1),ContinuousStatsTable[[#This Row],[HalfWidth]],ContinuousStatsTable[[#This Row],[BatchMeansHalfWidth]])</f>
        <v>4.3798869913993184E-2</v>
      </c>
    </row>
    <row r="41" spans="1:21" x14ac:dyDescent="0.3">
      <c r="A41" t="s">
        <v>66</v>
      </c>
      <c r="B41" t="s">
        <v>68</v>
      </c>
      <c r="C41">
        <v>3</v>
      </c>
      <c r="D41" t="s">
        <v>96</v>
      </c>
      <c r="E41" t="s">
        <v>95</v>
      </c>
      <c r="F41" t="s">
        <v>93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3">
      <c r="A42" t="s">
        <v>66</v>
      </c>
      <c r="B42" t="s">
        <v>68</v>
      </c>
      <c r="C42">
        <v>3</v>
      </c>
      <c r="D42" t="s">
        <v>97</v>
      </c>
      <c r="E42" t="s">
        <v>92</v>
      </c>
      <c r="F42" t="s">
        <v>93</v>
      </c>
      <c r="G42">
        <v>0.79202715857680095</v>
      </c>
      <c r="H42">
        <v>2E+20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0.69586636126078405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0.89372434220669095</v>
      </c>
      <c r="U42">
        <f>IF((ContinuousStatsTable[[#This Row],[RepsRequested]]&gt;1),ContinuousStatsTable[[#This Row],[HalfWidth]],ContinuousStatsTable[[#This Row],[BatchMeansHalfWidth]])</f>
        <v>4.8321681102076373E-2</v>
      </c>
    </row>
    <row r="43" spans="1:21" x14ac:dyDescent="0.3">
      <c r="A43" t="s">
        <v>66</v>
      </c>
      <c r="B43" t="s">
        <v>68</v>
      </c>
      <c r="C43">
        <v>3</v>
      </c>
      <c r="D43" t="s">
        <v>97</v>
      </c>
      <c r="E43" t="s">
        <v>94</v>
      </c>
      <c r="F43" t="s">
        <v>93</v>
      </c>
      <c r="G43">
        <v>0.79202715857680095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0.69586636126078405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0.89372434220669095</v>
      </c>
      <c r="U43">
        <f>IF((ContinuousStatsTable[[#This Row],[RepsRequested]]&gt;1),ContinuousStatsTable[[#This Row],[HalfWidth]],ContinuousStatsTable[[#This Row],[BatchMeansHalfWidth]])</f>
        <v>4.8321681102076373E-2</v>
      </c>
    </row>
    <row r="44" spans="1:21" x14ac:dyDescent="0.3">
      <c r="A44" t="s">
        <v>66</v>
      </c>
      <c r="B44" t="s">
        <v>68</v>
      </c>
      <c r="C44">
        <v>3</v>
      </c>
      <c r="D44" t="s">
        <v>97</v>
      </c>
      <c r="E44" t="s">
        <v>95</v>
      </c>
      <c r="F44" t="s">
        <v>93</v>
      </c>
      <c r="G44">
        <v>1</v>
      </c>
      <c r="H44">
        <v>2E+20</v>
      </c>
      <c r="I44">
        <v>1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3">
      <c r="A45" t="s">
        <v>66</v>
      </c>
      <c r="B45" t="s">
        <v>68</v>
      </c>
      <c r="C45">
        <v>3</v>
      </c>
      <c r="D45" t="s">
        <v>98</v>
      </c>
      <c r="E45" t="s">
        <v>99</v>
      </c>
      <c r="F45" t="s">
        <v>82</v>
      </c>
      <c r="G45">
        <v>0</v>
      </c>
      <c r="H45">
        <v>2E+20</v>
      </c>
      <c r="I45">
        <v>0</v>
      </c>
      <c r="J45">
        <v>1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3</v>
      </c>
      <c r="D46" t="s">
        <v>69</v>
      </c>
      <c r="E46" t="s">
        <v>100</v>
      </c>
      <c r="F46" t="s">
        <v>71</v>
      </c>
      <c r="G46">
        <v>0.33553270396392698</v>
      </c>
      <c r="H46">
        <v>2E+20</v>
      </c>
      <c r="I46">
        <v>0</v>
      </c>
      <c r="J46">
        <v>2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0.112285312750481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1.1577111225029799</v>
      </c>
      <c r="U46">
        <f>IF((ContinuousStatsTable[[#This Row],[RepsRequested]]&gt;1),ContinuousStatsTable[[#This Row],[HalfWidth]],ContinuousStatsTable[[#This Row],[BatchMeansHalfWidth]])</f>
        <v>0.21814478487117156</v>
      </c>
    </row>
    <row r="47" spans="1:21" x14ac:dyDescent="0.3">
      <c r="A47" t="s">
        <v>66</v>
      </c>
      <c r="B47" t="s">
        <v>68</v>
      </c>
      <c r="C47">
        <v>3</v>
      </c>
      <c r="D47" t="s">
        <v>72</v>
      </c>
      <c r="E47" t="s">
        <v>100</v>
      </c>
      <c r="F47" t="s">
        <v>71</v>
      </c>
      <c r="G47">
        <v>0.39910664712189398</v>
      </c>
      <c r="H47">
        <v>2E+20</v>
      </c>
      <c r="I47">
        <v>0</v>
      </c>
      <c r="J47">
        <v>3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0.14331492780305599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1.4544545357388801</v>
      </c>
      <c r="U47">
        <f>IF((ContinuousStatsTable[[#This Row],[RepsRequested]]&gt;1),ContinuousStatsTable[[#This Row],[HalfWidth]],ContinuousStatsTable[[#This Row],[BatchMeansHalfWidth]])</f>
        <v>0.28551832117895298</v>
      </c>
    </row>
    <row r="48" spans="1:21" x14ac:dyDescent="0.3">
      <c r="A48" t="s">
        <v>66</v>
      </c>
      <c r="B48" t="s">
        <v>68</v>
      </c>
      <c r="C48">
        <v>3</v>
      </c>
      <c r="D48" t="s">
        <v>73</v>
      </c>
      <c r="E48" t="s">
        <v>100</v>
      </c>
      <c r="F48" t="s">
        <v>71</v>
      </c>
      <c r="G48">
        <v>0.45941003777089501</v>
      </c>
      <c r="H48">
        <v>2E+20</v>
      </c>
      <c r="I48">
        <v>0</v>
      </c>
      <c r="J48">
        <v>3</v>
      </c>
      <c r="K48">
        <v>2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0.21331563144656099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1.22637838136578</v>
      </c>
      <c r="U48">
        <f>IF((ContinuousStatsTable[[#This Row],[RepsRequested]]&gt;1),ContinuousStatsTable[[#This Row],[HalfWidth]],ContinuousStatsTable[[#This Row],[BatchMeansHalfWidth]])</f>
        <v>0.22870353772187338</v>
      </c>
    </row>
    <row r="49" spans="1:21" x14ac:dyDescent="0.3">
      <c r="A49" t="s">
        <v>66</v>
      </c>
      <c r="B49" t="s">
        <v>68</v>
      </c>
      <c r="C49">
        <v>3</v>
      </c>
      <c r="D49" t="s">
        <v>80</v>
      </c>
      <c r="E49" t="s">
        <v>99</v>
      </c>
      <c r="F49" t="s">
        <v>82</v>
      </c>
      <c r="G49">
        <v>1.2117185846095899</v>
      </c>
      <c r="H49">
        <v>2E+20</v>
      </c>
      <c r="I49">
        <v>0</v>
      </c>
      <c r="J49">
        <v>3</v>
      </c>
      <c r="K49">
        <v>3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0.73791054391385202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2.0648494861280899</v>
      </c>
      <c r="U49">
        <f>IF((ContinuousStatsTable[[#This Row],[RepsRequested]]&gt;1),ContinuousStatsTable[[#This Row],[HalfWidth]],ContinuousStatsTable[[#This Row],[BatchMeansHalfWidth]])</f>
        <v>0.28423495041220082</v>
      </c>
    </row>
    <row r="50" spans="1:21" x14ac:dyDescent="0.3">
      <c r="A50" t="s">
        <v>66</v>
      </c>
      <c r="B50" t="s">
        <v>68</v>
      </c>
      <c r="C50">
        <v>3</v>
      </c>
      <c r="D50" t="s">
        <v>88</v>
      </c>
      <c r="E50" t="s">
        <v>99</v>
      </c>
      <c r="F50" t="s">
        <v>82</v>
      </c>
      <c r="G50">
        <v>1.2613039358621201</v>
      </c>
      <c r="H50">
        <v>2E+20</v>
      </c>
      <c r="I50">
        <v>0</v>
      </c>
      <c r="J50">
        <v>4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1.2311050618933901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2.06949400203548</v>
      </c>
      <c r="U50">
        <f>IF((ContinuousStatsTable[[#This Row],[RepsRequested]]&gt;1),ContinuousStatsTable[[#This Row],[HalfWidth]],ContinuousStatsTable[[#This Row],[BatchMeansHalfWidth]])</f>
        <v>0.2005202009511077</v>
      </c>
    </row>
    <row r="51" spans="1:21" x14ac:dyDescent="0.3">
      <c r="A51" t="s">
        <v>66</v>
      </c>
      <c r="B51" t="s">
        <v>68</v>
      </c>
      <c r="C51">
        <v>3</v>
      </c>
      <c r="D51" t="s">
        <v>89</v>
      </c>
      <c r="E51" t="s">
        <v>99</v>
      </c>
      <c r="F51" t="s">
        <v>82</v>
      </c>
      <c r="G51">
        <v>0.84420214779471603</v>
      </c>
      <c r="H51">
        <v>2E+20</v>
      </c>
      <c r="I51">
        <v>0</v>
      </c>
      <c r="J51">
        <v>3</v>
      </c>
      <c r="K51">
        <v>3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0.61363727304496296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1.6623255879926</v>
      </c>
      <c r="U51">
        <f>IF((ContinuousStatsTable[[#This Row],[RepsRequested]]&gt;1),ContinuousStatsTable[[#This Row],[HalfWidth]],ContinuousStatsTable[[#This Row],[BatchMeansHalfWidth]])</f>
        <v>0.25768116607482183</v>
      </c>
    </row>
    <row r="52" spans="1:21" x14ac:dyDescent="0.3">
      <c r="A52" t="s">
        <v>66</v>
      </c>
      <c r="B52" t="s">
        <v>68</v>
      </c>
      <c r="C52">
        <v>3</v>
      </c>
      <c r="D52" t="s">
        <v>90</v>
      </c>
      <c r="E52" t="s">
        <v>99</v>
      </c>
      <c r="F52" t="s">
        <v>82</v>
      </c>
      <c r="G52">
        <v>1.2031286572565101</v>
      </c>
      <c r="H52">
        <v>2E+20</v>
      </c>
      <c r="I52">
        <v>0</v>
      </c>
      <c r="J52">
        <v>4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0.82142168923556802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1.71735388547157</v>
      </c>
      <c r="U52">
        <f>IF((ContinuousStatsTable[[#This Row],[RepsRequested]]&gt;1),ContinuousStatsTable[[#This Row],[HalfWidth]],ContinuousStatsTable[[#This Row],[BatchMeansHalfWidth]])</f>
        <v>0.21990226582093259</v>
      </c>
    </row>
    <row r="53" spans="1:21" x14ac:dyDescent="0.3">
      <c r="A53" t="s">
        <v>66</v>
      </c>
      <c r="B53" t="s">
        <v>68</v>
      </c>
      <c r="C53">
        <v>4</v>
      </c>
      <c r="D53" t="s">
        <v>91</v>
      </c>
      <c r="E53" t="s">
        <v>92</v>
      </c>
      <c r="F53" t="s">
        <v>93</v>
      </c>
      <c r="G53">
        <v>0.85168346880996104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0.70923148168898098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0.92513911074198196</v>
      </c>
      <c r="U53">
        <f>IF((ContinuousStatsTable[[#This Row],[RepsRequested]]&gt;1),ContinuousStatsTable[[#This Row],[HalfWidth]],ContinuousStatsTable[[#This Row],[BatchMeansHalfWidth]])</f>
        <v>4.617487688207024E-2</v>
      </c>
    </row>
    <row r="54" spans="1:21" x14ac:dyDescent="0.3">
      <c r="A54" t="s">
        <v>66</v>
      </c>
      <c r="B54" t="s">
        <v>68</v>
      </c>
      <c r="C54">
        <v>4</v>
      </c>
      <c r="D54" t="s">
        <v>91</v>
      </c>
      <c r="E54" t="s">
        <v>94</v>
      </c>
      <c r="F54" t="s">
        <v>93</v>
      </c>
      <c r="G54">
        <v>0.85168346880996104</v>
      </c>
      <c r="H54">
        <v>2E+20</v>
      </c>
      <c r="I54">
        <v>0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0.70923148168898098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0.92513911074198196</v>
      </c>
      <c r="U54">
        <f>IF((ContinuousStatsTable[[#This Row],[RepsRequested]]&gt;1),ContinuousStatsTable[[#This Row],[HalfWidth]],ContinuousStatsTable[[#This Row],[BatchMeansHalfWidth]])</f>
        <v>4.617487688207024E-2</v>
      </c>
    </row>
    <row r="55" spans="1:21" x14ac:dyDescent="0.3">
      <c r="A55" t="s">
        <v>66</v>
      </c>
      <c r="B55" t="s">
        <v>68</v>
      </c>
      <c r="C55">
        <v>4</v>
      </c>
      <c r="D55" t="s">
        <v>91</v>
      </c>
      <c r="E55" t="s">
        <v>95</v>
      </c>
      <c r="F55" t="s">
        <v>93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4</v>
      </c>
      <c r="D56" t="s">
        <v>96</v>
      </c>
      <c r="E56" t="s">
        <v>92</v>
      </c>
      <c r="F56" t="s">
        <v>93</v>
      </c>
      <c r="G56">
        <v>0.803390977632918</v>
      </c>
      <c r="H56">
        <v>2E+20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0.71728584076343305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0.91938608785018705</v>
      </c>
      <c r="U56">
        <f>IF((ContinuousStatsTable[[#This Row],[RepsRequested]]&gt;1),ContinuousStatsTable[[#This Row],[HalfWidth]],ContinuousStatsTable[[#This Row],[BatchMeansHalfWidth]])</f>
        <v>4.3798869913993184E-2</v>
      </c>
    </row>
    <row r="57" spans="1:21" x14ac:dyDescent="0.3">
      <c r="A57" t="s">
        <v>66</v>
      </c>
      <c r="B57" t="s">
        <v>68</v>
      </c>
      <c r="C57">
        <v>4</v>
      </c>
      <c r="D57" t="s">
        <v>96</v>
      </c>
      <c r="E57" t="s">
        <v>94</v>
      </c>
      <c r="F57" t="s">
        <v>93</v>
      </c>
      <c r="G57">
        <v>0.803390977632918</v>
      </c>
      <c r="H57">
        <v>2E+20</v>
      </c>
      <c r="I57">
        <v>0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0.71728584076343305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0.91938608785018705</v>
      </c>
      <c r="U57">
        <f>IF((ContinuousStatsTable[[#This Row],[RepsRequested]]&gt;1),ContinuousStatsTable[[#This Row],[HalfWidth]],ContinuousStatsTable[[#This Row],[BatchMeansHalfWidth]])</f>
        <v>4.3798869913993184E-2</v>
      </c>
    </row>
    <row r="58" spans="1:21" x14ac:dyDescent="0.3">
      <c r="A58" t="s">
        <v>66</v>
      </c>
      <c r="B58" t="s">
        <v>68</v>
      </c>
      <c r="C58">
        <v>4</v>
      </c>
      <c r="D58" t="s">
        <v>96</v>
      </c>
      <c r="E58" t="s">
        <v>95</v>
      </c>
      <c r="F58" t="s">
        <v>93</v>
      </c>
      <c r="G58">
        <v>1</v>
      </c>
      <c r="H58">
        <v>2E+20</v>
      </c>
      <c r="I58">
        <v>1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3">
      <c r="A59" t="s">
        <v>66</v>
      </c>
      <c r="B59" t="s">
        <v>68</v>
      </c>
      <c r="C59">
        <v>4</v>
      </c>
      <c r="D59" t="s">
        <v>97</v>
      </c>
      <c r="E59" t="s">
        <v>92</v>
      </c>
      <c r="F59" t="s">
        <v>93</v>
      </c>
      <c r="G59">
        <v>0.86241316352317199</v>
      </c>
      <c r="H59">
        <v>2E+20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0.69586636126078405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0.89372434220669095</v>
      </c>
      <c r="U59">
        <f>IF((ContinuousStatsTable[[#This Row],[RepsRequested]]&gt;1),ContinuousStatsTable[[#This Row],[HalfWidth]],ContinuousStatsTable[[#This Row],[BatchMeansHalfWidth]])</f>
        <v>4.8321681102076373E-2</v>
      </c>
    </row>
    <row r="60" spans="1:21" x14ac:dyDescent="0.3">
      <c r="A60" t="s">
        <v>66</v>
      </c>
      <c r="B60" t="s">
        <v>68</v>
      </c>
      <c r="C60">
        <v>4</v>
      </c>
      <c r="D60" t="s">
        <v>97</v>
      </c>
      <c r="E60" t="s">
        <v>94</v>
      </c>
      <c r="F60" t="s">
        <v>93</v>
      </c>
      <c r="G60">
        <v>0.86241316352317199</v>
      </c>
      <c r="H60">
        <v>2E+20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0.69586636126078405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0.89372434220669095</v>
      </c>
      <c r="U60">
        <f>IF((ContinuousStatsTable[[#This Row],[RepsRequested]]&gt;1),ContinuousStatsTable[[#This Row],[HalfWidth]],ContinuousStatsTable[[#This Row],[BatchMeansHalfWidth]])</f>
        <v>4.8321681102076373E-2</v>
      </c>
    </row>
    <row r="61" spans="1:21" x14ac:dyDescent="0.3">
      <c r="A61" t="s">
        <v>66</v>
      </c>
      <c r="B61" t="s">
        <v>68</v>
      </c>
      <c r="C61">
        <v>4</v>
      </c>
      <c r="D61" t="s">
        <v>97</v>
      </c>
      <c r="E61" t="s">
        <v>95</v>
      </c>
      <c r="F61" t="s">
        <v>93</v>
      </c>
      <c r="G61">
        <v>1</v>
      </c>
      <c r="H61">
        <v>2E+20</v>
      </c>
      <c r="I61">
        <v>1</v>
      </c>
      <c r="J61">
        <v>1</v>
      </c>
      <c r="K61">
        <v>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</v>
      </c>
      <c r="U61">
        <f>IF((ContinuousStatsTable[[#This Row],[RepsRequested]]&gt;1),ContinuousStatsTable[[#This Row],[HalfWidth]],ContinuousStatsTable[[#This Row],[BatchMeansHalfWidth]])</f>
        <v>0</v>
      </c>
    </row>
    <row r="62" spans="1:21" x14ac:dyDescent="0.3">
      <c r="A62" t="s">
        <v>66</v>
      </c>
      <c r="B62" t="s">
        <v>68</v>
      </c>
      <c r="C62">
        <v>4</v>
      </c>
      <c r="D62" t="s">
        <v>98</v>
      </c>
      <c r="E62" t="s">
        <v>99</v>
      </c>
      <c r="F62" t="s">
        <v>82</v>
      </c>
      <c r="G62">
        <v>0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3">
      <c r="A63" t="s">
        <v>66</v>
      </c>
      <c r="B63" t="s">
        <v>68</v>
      </c>
      <c r="C63">
        <v>4</v>
      </c>
      <c r="D63" t="s">
        <v>69</v>
      </c>
      <c r="E63" t="s">
        <v>100</v>
      </c>
      <c r="F63" t="s">
        <v>71</v>
      </c>
      <c r="G63">
        <v>0.25043980087231799</v>
      </c>
      <c r="H63">
        <v>2E+20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0.112285312750481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1.1577111225029799</v>
      </c>
      <c r="U63">
        <f>IF((ContinuousStatsTable[[#This Row],[RepsRequested]]&gt;1),ContinuousStatsTable[[#This Row],[HalfWidth]],ContinuousStatsTable[[#This Row],[BatchMeansHalfWidth]])</f>
        <v>0.21814478487117156</v>
      </c>
    </row>
    <row r="64" spans="1:21" x14ac:dyDescent="0.3">
      <c r="A64" t="s">
        <v>66</v>
      </c>
      <c r="B64" t="s">
        <v>68</v>
      </c>
      <c r="C64">
        <v>4</v>
      </c>
      <c r="D64" t="s">
        <v>72</v>
      </c>
      <c r="E64" t="s">
        <v>100</v>
      </c>
      <c r="F64" t="s">
        <v>71</v>
      </c>
      <c r="G64">
        <v>0.41449084657142399</v>
      </c>
      <c r="H64">
        <v>2E+20</v>
      </c>
      <c r="I64">
        <v>0</v>
      </c>
      <c r="J64">
        <v>2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0.14331492780305599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1.4544545357388801</v>
      </c>
      <c r="U64">
        <f>IF((ContinuousStatsTable[[#This Row],[RepsRequested]]&gt;1),ContinuousStatsTable[[#This Row],[HalfWidth]],ContinuousStatsTable[[#This Row],[BatchMeansHalfWidth]])</f>
        <v>0.28551832117895298</v>
      </c>
    </row>
    <row r="65" spans="1:21" x14ac:dyDescent="0.3">
      <c r="A65" t="s">
        <v>66</v>
      </c>
      <c r="B65" t="s">
        <v>68</v>
      </c>
      <c r="C65">
        <v>4</v>
      </c>
      <c r="D65" t="s">
        <v>73</v>
      </c>
      <c r="E65" t="s">
        <v>100</v>
      </c>
      <c r="F65" t="s">
        <v>71</v>
      </c>
      <c r="G65">
        <v>0.85348736174534501</v>
      </c>
      <c r="H65">
        <v>2E+20</v>
      </c>
      <c r="I65">
        <v>0</v>
      </c>
      <c r="J65">
        <v>3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0.21331563144656099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1.22637838136578</v>
      </c>
      <c r="U65">
        <f>IF((ContinuousStatsTable[[#This Row],[RepsRequested]]&gt;1),ContinuousStatsTable[[#This Row],[HalfWidth]],ContinuousStatsTable[[#This Row],[BatchMeansHalfWidth]])</f>
        <v>0.22870353772187338</v>
      </c>
    </row>
    <row r="66" spans="1:21" x14ac:dyDescent="0.3">
      <c r="A66" t="s">
        <v>66</v>
      </c>
      <c r="B66" t="s">
        <v>68</v>
      </c>
      <c r="C66">
        <v>4</v>
      </c>
      <c r="D66" t="s">
        <v>80</v>
      </c>
      <c r="E66" t="s">
        <v>99</v>
      </c>
      <c r="F66" t="s">
        <v>82</v>
      </c>
      <c r="G66">
        <v>1.5437379153195401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0.73791054391385202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2.0648494861280899</v>
      </c>
      <c r="U66">
        <f>IF((ContinuousStatsTable[[#This Row],[RepsRequested]]&gt;1),ContinuousStatsTable[[#This Row],[HalfWidth]],ContinuousStatsTable[[#This Row],[BatchMeansHalfWidth]])</f>
        <v>0.28423495041220082</v>
      </c>
    </row>
    <row r="67" spans="1:21" x14ac:dyDescent="0.3">
      <c r="A67" t="s">
        <v>66</v>
      </c>
      <c r="B67" t="s">
        <v>68</v>
      </c>
      <c r="C67">
        <v>4</v>
      </c>
      <c r="D67" t="s">
        <v>88</v>
      </c>
      <c r="E67" t="s">
        <v>99</v>
      </c>
      <c r="F67" t="s">
        <v>82</v>
      </c>
      <c r="G67">
        <v>1.3483695421322599</v>
      </c>
      <c r="H67">
        <v>2E+20</v>
      </c>
      <c r="I67">
        <v>0</v>
      </c>
      <c r="J67">
        <v>5</v>
      </c>
      <c r="K67">
        <v>5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1.2311050618933901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2.06949400203548</v>
      </c>
      <c r="U67">
        <f>IF((ContinuousStatsTable[[#This Row],[RepsRequested]]&gt;1),ContinuousStatsTable[[#This Row],[HalfWidth]],ContinuousStatsTable[[#This Row],[BatchMeansHalfWidth]])</f>
        <v>0.2005202009511077</v>
      </c>
    </row>
    <row r="68" spans="1:21" x14ac:dyDescent="0.3">
      <c r="A68" t="s">
        <v>66</v>
      </c>
      <c r="B68" t="s">
        <v>68</v>
      </c>
      <c r="C68">
        <v>4</v>
      </c>
      <c r="D68" t="s">
        <v>89</v>
      </c>
      <c r="E68" t="s">
        <v>99</v>
      </c>
      <c r="F68" t="s">
        <v>82</v>
      </c>
      <c r="G68">
        <v>0.81867769287591596</v>
      </c>
      <c r="H68">
        <v>2E+20</v>
      </c>
      <c r="I68">
        <v>0</v>
      </c>
      <c r="J68">
        <v>3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0.61363727304496296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1.6623255879926</v>
      </c>
      <c r="U68">
        <f>IF((ContinuousStatsTable[[#This Row],[RepsRequested]]&gt;1),ContinuousStatsTable[[#This Row],[HalfWidth]],ContinuousStatsTable[[#This Row],[BatchMeansHalfWidth]])</f>
        <v>0.25768116607482183</v>
      </c>
    </row>
    <row r="69" spans="1:21" x14ac:dyDescent="0.3">
      <c r="A69" t="s">
        <v>66</v>
      </c>
      <c r="B69" t="s">
        <v>68</v>
      </c>
      <c r="C69">
        <v>4</v>
      </c>
      <c r="D69" t="s">
        <v>90</v>
      </c>
      <c r="E69" t="s">
        <v>99</v>
      </c>
      <c r="F69" t="s">
        <v>82</v>
      </c>
      <c r="G69">
        <v>1.2313704688274301</v>
      </c>
      <c r="H69">
        <v>2E+20</v>
      </c>
      <c r="I69">
        <v>0</v>
      </c>
      <c r="J69">
        <v>4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0.82142168923556802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1.71735388547157</v>
      </c>
      <c r="U69">
        <f>IF((ContinuousStatsTable[[#This Row],[RepsRequested]]&gt;1),ContinuousStatsTable[[#This Row],[HalfWidth]],ContinuousStatsTable[[#This Row],[BatchMeansHalfWidth]])</f>
        <v>0.21990226582093259</v>
      </c>
    </row>
    <row r="70" spans="1:21" x14ac:dyDescent="0.3">
      <c r="A70" t="s">
        <v>66</v>
      </c>
      <c r="B70" t="s">
        <v>68</v>
      </c>
      <c r="C70">
        <v>5</v>
      </c>
      <c r="D70" t="s">
        <v>91</v>
      </c>
      <c r="E70" t="s">
        <v>92</v>
      </c>
      <c r="F70" t="s">
        <v>93</v>
      </c>
      <c r="G70">
        <v>0.70923148168898098</v>
      </c>
      <c r="H70">
        <v>2E+20</v>
      </c>
      <c r="I70">
        <v>0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0.70923148168898098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0.92513911074198196</v>
      </c>
      <c r="U70">
        <f>IF((ContinuousStatsTable[[#This Row],[RepsRequested]]&gt;1),ContinuousStatsTable[[#This Row],[HalfWidth]],ContinuousStatsTable[[#This Row],[BatchMeansHalfWidth]])</f>
        <v>4.617487688207024E-2</v>
      </c>
    </row>
    <row r="71" spans="1:21" x14ac:dyDescent="0.3">
      <c r="A71" t="s">
        <v>66</v>
      </c>
      <c r="B71" t="s">
        <v>68</v>
      </c>
      <c r="C71">
        <v>5</v>
      </c>
      <c r="D71" t="s">
        <v>91</v>
      </c>
      <c r="E71" t="s">
        <v>94</v>
      </c>
      <c r="F71" t="s">
        <v>93</v>
      </c>
      <c r="G71">
        <v>0.70923148168898098</v>
      </c>
      <c r="H71">
        <v>2E+20</v>
      </c>
      <c r="I71">
        <v>0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0.70923148168898098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0.92513911074198196</v>
      </c>
      <c r="U71">
        <f>IF((ContinuousStatsTable[[#This Row],[RepsRequested]]&gt;1),ContinuousStatsTable[[#This Row],[HalfWidth]],ContinuousStatsTable[[#This Row],[BatchMeansHalfWidth]])</f>
        <v>4.617487688207024E-2</v>
      </c>
    </row>
    <row r="72" spans="1:21" x14ac:dyDescent="0.3">
      <c r="A72" t="s">
        <v>66</v>
      </c>
      <c r="B72" t="s">
        <v>68</v>
      </c>
      <c r="C72">
        <v>5</v>
      </c>
      <c r="D72" t="s">
        <v>91</v>
      </c>
      <c r="E72" t="s">
        <v>95</v>
      </c>
      <c r="F72" t="s">
        <v>93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>
        <f>IF((ContinuousStatsTable[[#This Row],[RepsRequested]]&gt;1),ContinuousStatsTable[[#This Row],[HalfWidth]],ContinuousStatsTable[[#This Row],[BatchMeansHalfWidth]])</f>
        <v>0</v>
      </c>
    </row>
    <row r="73" spans="1:21" x14ac:dyDescent="0.3">
      <c r="A73" t="s">
        <v>66</v>
      </c>
      <c r="B73" t="s">
        <v>68</v>
      </c>
      <c r="C73">
        <v>5</v>
      </c>
      <c r="D73" t="s">
        <v>96</v>
      </c>
      <c r="E73" t="s">
        <v>92</v>
      </c>
      <c r="F73" t="s">
        <v>93</v>
      </c>
      <c r="G73">
        <v>0.91938608785018705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0.71728584076343305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0.91938608785018705</v>
      </c>
      <c r="U73">
        <f>IF((ContinuousStatsTable[[#This Row],[RepsRequested]]&gt;1),ContinuousStatsTable[[#This Row],[HalfWidth]],ContinuousStatsTable[[#This Row],[BatchMeansHalfWidth]])</f>
        <v>4.3798869913993184E-2</v>
      </c>
    </row>
    <row r="74" spans="1:21" x14ac:dyDescent="0.3">
      <c r="A74" t="s">
        <v>66</v>
      </c>
      <c r="B74" t="s">
        <v>68</v>
      </c>
      <c r="C74">
        <v>5</v>
      </c>
      <c r="D74" t="s">
        <v>96</v>
      </c>
      <c r="E74" t="s">
        <v>94</v>
      </c>
      <c r="F74" t="s">
        <v>93</v>
      </c>
      <c r="G74">
        <v>0.91938608785018705</v>
      </c>
      <c r="H74">
        <v>2E+20</v>
      </c>
      <c r="I74">
        <v>0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0.71728584076343305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0.91938608785018705</v>
      </c>
      <c r="U74">
        <f>IF((ContinuousStatsTable[[#This Row],[RepsRequested]]&gt;1),ContinuousStatsTable[[#This Row],[HalfWidth]],ContinuousStatsTable[[#This Row],[BatchMeansHalfWidth]])</f>
        <v>4.3798869913993184E-2</v>
      </c>
    </row>
    <row r="75" spans="1:21" x14ac:dyDescent="0.3">
      <c r="A75" t="s">
        <v>66</v>
      </c>
      <c r="B75" t="s">
        <v>68</v>
      </c>
      <c r="C75">
        <v>5</v>
      </c>
      <c r="D75" t="s">
        <v>96</v>
      </c>
      <c r="E75" t="s">
        <v>95</v>
      </c>
      <c r="F75" t="s">
        <v>93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5</v>
      </c>
      <c r="D76" t="s">
        <v>97</v>
      </c>
      <c r="E76" t="s">
        <v>92</v>
      </c>
      <c r="F76" t="s">
        <v>93</v>
      </c>
      <c r="G76">
        <v>0.74064208814979704</v>
      </c>
      <c r="H76">
        <v>2E+20</v>
      </c>
      <c r="I76">
        <v>0</v>
      </c>
      <c r="J76">
        <v>1</v>
      </c>
      <c r="K76">
        <v>1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0.69586636126078405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0.89372434220669095</v>
      </c>
      <c r="U76">
        <f>IF((ContinuousStatsTable[[#This Row],[RepsRequested]]&gt;1),ContinuousStatsTable[[#This Row],[HalfWidth]],ContinuousStatsTable[[#This Row],[BatchMeansHalfWidth]])</f>
        <v>4.8321681102076373E-2</v>
      </c>
    </row>
    <row r="77" spans="1:21" x14ac:dyDescent="0.3">
      <c r="A77" t="s">
        <v>66</v>
      </c>
      <c r="B77" t="s">
        <v>68</v>
      </c>
      <c r="C77">
        <v>5</v>
      </c>
      <c r="D77" t="s">
        <v>97</v>
      </c>
      <c r="E77" t="s">
        <v>94</v>
      </c>
      <c r="F77" t="s">
        <v>93</v>
      </c>
      <c r="G77">
        <v>0.74064208814979704</v>
      </c>
      <c r="H77">
        <v>2E+20</v>
      </c>
      <c r="I77">
        <v>0</v>
      </c>
      <c r="J77">
        <v>1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0.69586636126078405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0.89372434220669095</v>
      </c>
      <c r="U77">
        <f>IF((ContinuousStatsTable[[#This Row],[RepsRequested]]&gt;1),ContinuousStatsTable[[#This Row],[HalfWidth]],ContinuousStatsTable[[#This Row],[BatchMeansHalfWidth]])</f>
        <v>4.8321681102076373E-2</v>
      </c>
    </row>
    <row r="78" spans="1:21" x14ac:dyDescent="0.3">
      <c r="A78" t="s">
        <v>66</v>
      </c>
      <c r="B78" t="s">
        <v>68</v>
      </c>
      <c r="C78">
        <v>5</v>
      </c>
      <c r="D78" t="s">
        <v>97</v>
      </c>
      <c r="E78" t="s">
        <v>95</v>
      </c>
      <c r="F78" t="s">
        <v>93</v>
      </c>
      <c r="G78">
        <v>1</v>
      </c>
      <c r="H78">
        <v>2E+20</v>
      </c>
      <c r="I78">
        <v>1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>
        <f>IF((ContinuousStatsTable[[#This Row],[RepsRequested]]&gt;1),ContinuousStatsTable[[#This Row],[HalfWidth]],ContinuousStatsTable[[#This Row],[BatchMeansHalfWidth]])</f>
        <v>0</v>
      </c>
    </row>
    <row r="79" spans="1:21" x14ac:dyDescent="0.3">
      <c r="A79" t="s">
        <v>66</v>
      </c>
      <c r="B79" t="s">
        <v>68</v>
      </c>
      <c r="C79">
        <v>5</v>
      </c>
      <c r="D79" t="s">
        <v>98</v>
      </c>
      <c r="E79" t="s">
        <v>99</v>
      </c>
      <c r="F79" t="s">
        <v>82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3">
      <c r="A80" t="s">
        <v>66</v>
      </c>
      <c r="B80" t="s">
        <v>68</v>
      </c>
      <c r="C80">
        <v>5</v>
      </c>
      <c r="D80" t="s">
        <v>69</v>
      </c>
      <c r="E80" t="s">
        <v>100</v>
      </c>
      <c r="F80" t="s">
        <v>71</v>
      </c>
      <c r="G80">
        <v>0.112285312750481</v>
      </c>
      <c r="H80">
        <v>2E+20</v>
      </c>
      <c r="I80">
        <v>0</v>
      </c>
      <c r="J80">
        <v>1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0.112285312750481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1.1577111225029799</v>
      </c>
      <c r="U80">
        <f>IF((ContinuousStatsTable[[#This Row],[RepsRequested]]&gt;1),ContinuousStatsTable[[#This Row],[HalfWidth]],ContinuousStatsTable[[#This Row],[BatchMeansHalfWidth]])</f>
        <v>0.21814478487117156</v>
      </c>
    </row>
    <row r="81" spans="1:21" x14ac:dyDescent="0.3">
      <c r="A81" t="s">
        <v>66</v>
      </c>
      <c r="B81" t="s">
        <v>68</v>
      </c>
      <c r="C81">
        <v>5</v>
      </c>
      <c r="D81" t="s">
        <v>72</v>
      </c>
      <c r="E81" t="s">
        <v>100</v>
      </c>
      <c r="F81" t="s">
        <v>71</v>
      </c>
      <c r="G81">
        <v>0.62044844278173095</v>
      </c>
      <c r="H81">
        <v>2E+20</v>
      </c>
      <c r="I81">
        <v>0</v>
      </c>
      <c r="J81">
        <v>2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0.14331492780305599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1.4544545357388801</v>
      </c>
      <c r="U81">
        <f>IF((ContinuousStatsTable[[#This Row],[RepsRequested]]&gt;1),ContinuousStatsTable[[#This Row],[HalfWidth]],ContinuousStatsTable[[#This Row],[BatchMeansHalfWidth]])</f>
        <v>0.28551832117895298</v>
      </c>
    </row>
    <row r="82" spans="1:21" x14ac:dyDescent="0.3">
      <c r="A82" t="s">
        <v>66</v>
      </c>
      <c r="B82" t="s">
        <v>68</v>
      </c>
      <c r="C82">
        <v>5</v>
      </c>
      <c r="D82" t="s">
        <v>73</v>
      </c>
      <c r="E82" t="s">
        <v>100</v>
      </c>
      <c r="F82" t="s">
        <v>71</v>
      </c>
      <c r="G82">
        <v>0.21331563144656099</v>
      </c>
      <c r="H82">
        <v>2E+20</v>
      </c>
      <c r="I82">
        <v>0</v>
      </c>
      <c r="J82">
        <v>2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0.21331563144656099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1.22637838136578</v>
      </c>
      <c r="U82">
        <f>IF((ContinuousStatsTable[[#This Row],[RepsRequested]]&gt;1),ContinuousStatsTable[[#This Row],[HalfWidth]],ContinuousStatsTable[[#This Row],[BatchMeansHalfWidth]])</f>
        <v>0.22870353772187338</v>
      </c>
    </row>
    <row r="83" spans="1:21" x14ac:dyDescent="0.3">
      <c r="A83" t="s">
        <v>66</v>
      </c>
      <c r="B83" t="s">
        <v>68</v>
      </c>
      <c r="C83">
        <v>5</v>
      </c>
      <c r="D83" t="s">
        <v>80</v>
      </c>
      <c r="E83" t="s">
        <v>99</v>
      </c>
      <c r="F83" t="s">
        <v>82</v>
      </c>
      <c r="G83">
        <v>0.73791054391385202</v>
      </c>
      <c r="H83">
        <v>2E+20</v>
      </c>
      <c r="I83">
        <v>0</v>
      </c>
      <c r="J83">
        <v>2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0.73791054391385202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2.0648494861280899</v>
      </c>
      <c r="U83">
        <f>IF((ContinuousStatsTable[[#This Row],[RepsRequested]]&gt;1),ContinuousStatsTable[[#This Row],[HalfWidth]],ContinuousStatsTable[[#This Row],[BatchMeansHalfWidth]])</f>
        <v>0.28423495041220082</v>
      </c>
    </row>
    <row r="84" spans="1:21" x14ac:dyDescent="0.3">
      <c r="A84" t="s">
        <v>66</v>
      </c>
      <c r="B84" t="s">
        <v>68</v>
      </c>
      <c r="C84">
        <v>5</v>
      </c>
      <c r="D84" t="s">
        <v>88</v>
      </c>
      <c r="E84" t="s">
        <v>99</v>
      </c>
      <c r="F84" t="s">
        <v>82</v>
      </c>
      <c r="G84">
        <v>1.2311050618933901</v>
      </c>
      <c r="H84">
        <v>2E+20</v>
      </c>
      <c r="I84">
        <v>0</v>
      </c>
      <c r="J84">
        <v>3</v>
      </c>
      <c r="K84">
        <v>2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1.2311050618933901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2.06949400203548</v>
      </c>
      <c r="U84">
        <f>IF((ContinuousStatsTable[[#This Row],[RepsRequested]]&gt;1),ContinuousStatsTable[[#This Row],[HalfWidth]],ContinuousStatsTable[[#This Row],[BatchMeansHalfWidth]])</f>
        <v>0.2005202009511077</v>
      </c>
    </row>
    <row r="85" spans="1:21" x14ac:dyDescent="0.3">
      <c r="A85" t="s">
        <v>66</v>
      </c>
      <c r="B85" t="s">
        <v>68</v>
      </c>
      <c r="C85">
        <v>5</v>
      </c>
      <c r="D85" t="s">
        <v>89</v>
      </c>
      <c r="E85" t="s">
        <v>99</v>
      </c>
      <c r="F85" t="s">
        <v>82</v>
      </c>
      <c r="G85">
        <v>0.93023232546798795</v>
      </c>
      <c r="H85">
        <v>2E+20</v>
      </c>
      <c r="I85">
        <v>0</v>
      </c>
      <c r="J85">
        <v>3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0.61363727304496296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1.6623255879926</v>
      </c>
      <c r="U85">
        <f>IF((ContinuousStatsTable[[#This Row],[RepsRequested]]&gt;1),ContinuousStatsTable[[#This Row],[HalfWidth]],ContinuousStatsTable[[#This Row],[BatchMeansHalfWidth]])</f>
        <v>0.25768116607482183</v>
      </c>
    </row>
    <row r="86" spans="1:21" x14ac:dyDescent="0.3">
      <c r="A86" t="s">
        <v>66</v>
      </c>
      <c r="B86" t="s">
        <v>68</v>
      </c>
      <c r="C86">
        <v>5</v>
      </c>
      <c r="D86" t="s">
        <v>90</v>
      </c>
      <c r="E86" t="s">
        <v>99</v>
      </c>
      <c r="F86" t="s">
        <v>82</v>
      </c>
      <c r="G86">
        <v>1.3410611133924999</v>
      </c>
      <c r="H86">
        <v>2E+20</v>
      </c>
      <c r="I86">
        <v>0</v>
      </c>
      <c r="J86">
        <v>3</v>
      </c>
      <c r="K86">
        <v>1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0.82142168923556802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1.71735388547157</v>
      </c>
      <c r="U86">
        <f>IF((ContinuousStatsTable[[#This Row],[RepsRequested]]&gt;1),ContinuousStatsTable[[#This Row],[HalfWidth]],ContinuousStatsTable[[#This Row],[BatchMeansHalfWidth]])</f>
        <v>0.21990226582093259</v>
      </c>
    </row>
    <row r="87" spans="1:21" x14ac:dyDescent="0.3">
      <c r="A87" t="s">
        <v>66</v>
      </c>
      <c r="B87" t="s">
        <v>68</v>
      </c>
      <c r="C87">
        <v>6</v>
      </c>
      <c r="D87" t="s">
        <v>91</v>
      </c>
      <c r="E87" t="s">
        <v>92</v>
      </c>
      <c r="F87" t="s">
        <v>93</v>
      </c>
      <c r="G87">
        <v>0.92513911074198196</v>
      </c>
      <c r="H87">
        <v>2E+20</v>
      </c>
      <c r="I87">
        <v>0</v>
      </c>
      <c r="J87">
        <v>1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0.70923148168898098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0.92513911074198196</v>
      </c>
      <c r="U87">
        <f>IF((ContinuousStatsTable[[#This Row],[RepsRequested]]&gt;1),ContinuousStatsTable[[#This Row],[HalfWidth]],ContinuousStatsTable[[#This Row],[BatchMeansHalfWidth]])</f>
        <v>4.617487688207024E-2</v>
      </c>
    </row>
    <row r="88" spans="1:21" x14ac:dyDescent="0.3">
      <c r="A88" t="s">
        <v>66</v>
      </c>
      <c r="B88" t="s">
        <v>68</v>
      </c>
      <c r="C88">
        <v>6</v>
      </c>
      <c r="D88" t="s">
        <v>91</v>
      </c>
      <c r="E88" t="s">
        <v>94</v>
      </c>
      <c r="F88" t="s">
        <v>93</v>
      </c>
      <c r="G88">
        <v>0.92513911074198196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0.70923148168898098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0.92513911074198196</v>
      </c>
      <c r="U88">
        <f>IF((ContinuousStatsTable[[#This Row],[RepsRequested]]&gt;1),ContinuousStatsTable[[#This Row],[HalfWidth]],ContinuousStatsTable[[#This Row],[BatchMeansHalfWidth]])</f>
        <v>4.617487688207024E-2</v>
      </c>
    </row>
    <row r="89" spans="1:21" x14ac:dyDescent="0.3">
      <c r="A89" t="s">
        <v>66</v>
      </c>
      <c r="B89" t="s">
        <v>68</v>
      </c>
      <c r="C89">
        <v>6</v>
      </c>
      <c r="D89" t="s">
        <v>91</v>
      </c>
      <c r="E89" t="s">
        <v>95</v>
      </c>
      <c r="F89" t="s">
        <v>93</v>
      </c>
      <c r="G89">
        <v>1</v>
      </c>
      <c r="H89">
        <v>2E+20</v>
      </c>
      <c r="I89">
        <v>1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1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</v>
      </c>
      <c r="U89">
        <f>IF((ContinuousStatsTable[[#This Row],[RepsRequested]]&gt;1),ContinuousStatsTable[[#This Row],[HalfWidth]],ContinuousStatsTable[[#This Row],[BatchMeansHalfWidth]])</f>
        <v>0</v>
      </c>
    </row>
    <row r="90" spans="1:21" x14ac:dyDescent="0.3">
      <c r="A90" t="s">
        <v>66</v>
      </c>
      <c r="B90" t="s">
        <v>68</v>
      </c>
      <c r="C90">
        <v>6</v>
      </c>
      <c r="D90" t="s">
        <v>96</v>
      </c>
      <c r="E90" t="s">
        <v>92</v>
      </c>
      <c r="F90" t="s">
        <v>93</v>
      </c>
      <c r="G90">
        <v>0.83200427859563797</v>
      </c>
      <c r="H90">
        <v>2E+20</v>
      </c>
      <c r="I90">
        <v>0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0.71728584076343305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0.91938608785018705</v>
      </c>
      <c r="U90">
        <f>IF((ContinuousStatsTable[[#This Row],[RepsRequested]]&gt;1),ContinuousStatsTable[[#This Row],[HalfWidth]],ContinuousStatsTable[[#This Row],[BatchMeansHalfWidth]])</f>
        <v>4.3798869913993184E-2</v>
      </c>
    </row>
    <row r="91" spans="1:21" x14ac:dyDescent="0.3">
      <c r="A91" t="s">
        <v>66</v>
      </c>
      <c r="B91" t="s">
        <v>68</v>
      </c>
      <c r="C91">
        <v>6</v>
      </c>
      <c r="D91" t="s">
        <v>96</v>
      </c>
      <c r="E91" t="s">
        <v>94</v>
      </c>
      <c r="F91" t="s">
        <v>93</v>
      </c>
      <c r="G91">
        <v>0.83200427859563797</v>
      </c>
      <c r="H91">
        <v>2E+20</v>
      </c>
      <c r="I91">
        <v>0</v>
      </c>
      <c r="J91">
        <v>1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0.71728584076343305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0.91938608785018705</v>
      </c>
      <c r="U91">
        <f>IF((ContinuousStatsTable[[#This Row],[RepsRequested]]&gt;1),ContinuousStatsTable[[#This Row],[HalfWidth]],ContinuousStatsTable[[#This Row],[BatchMeansHalfWidth]])</f>
        <v>4.3798869913993184E-2</v>
      </c>
    </row>
    <row r="92" spans="1:21" x14ac:dyDescent="0.3">
      <c r="A92" t="s">
        <v>66</v>
      </c>
      <c r="B92" t="s">
        <v>68</v>
      </c>
      <c r="C92">
        <v>6</v>
      </c>
      <c r="D92" t="s">
        <v>96</v>
      </c>
      <c r="E92" t="s">
        <v>95</v>
      </c>
      <c r="F92" t="s">
        <v>93</v>
      </c>
      <c r="G92">
        <v>1</v>
      </c>
      <c r="H92">
        <v>2E+20</v>
      </c>
      <c r="I92">
        <v>1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3">
      <c r="A93" t="s">
        <v>66</v>
      </c>
      <c r="B93" t="s">
        <v>68</v>
      </c>
      <c r="C93">
        <v>6</v>
      </c>
      <c r="D93" t="s">
        <v>97</v>
      </c>
      <c r="E93" t="s">
        <v>92</v>
      </c>
      <c r="F93" t="s">
        <v>93</v>
      </c>
      <c r="G93">
        <v>0.69586636126078405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0.69586636126078405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0.89372434220669095</v>
      </c>
      <c r="U93">
        <f>IF((ContinuousStatsTable[[#This Row],[RepsRequested]]&gt;1),ContinuousStatsTable[[#This Row],[HalfWidth]],ContinuousStatsTable[[#This Row],[BatchMeansHalfWidth]])</f>
        <v>4.8321681102076373E-2</v>
      </c>
    </row>
    <row r="94" spans="1:21" x14ac:dyDescent="0.3">
      <c r="A94" t="s">
        <v>66</v>
      </c>
      <c r="B94" t="s">
        <v>68</v>
      </c>
      <c r="C94">
        <v>6</v>
      </c>
      <c r="D94" t="s">
        <v>97</v>
      </c>
      <c r="E94" t="s">
        <v>94</v>
      </c>
      <c r="F94" t="s">
        <v>93</v>
      </c>
      <c r="G94">
        <v>0.69586636126078405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0.69586636126078405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0.89372434220669095</v>
      </c>
      <c r="U94">
        <f>IF((ContinuousStatsTable[[#This Row],[RepsRequested]]&gt;1),ContinuousStatsTable[[#This Row],[HalfWidth]],ContinuousStatsTable[[#This Row],[BatchMeansHalfWidth]])</f>
        <v>4.8321681102076373E-2</v>
      </c>
    </row>
    <row r="95" spans="1:21" x14ac:dyDescent="0.3">
      <c r="A95" t="s">
        <v>66</v>
      </c>
      <c r="B95" t="s">
        <v>68</v>
      </c>
      <c r="C95">
        <v>6</v>
      </c>
      <c r="D95" t="s">
        <v>97</v>
      </c>
      <c r="E95" t="s">
        <v>95</v>
      </c>
      <c r="F95" t="s">
        <v>93</v>
      </c>
      <c r="G95">
        <v>1</v>
      </c>
      <c r="H95">
        <v>2E+20</v>
      </c>
      <c r="I95">
        <v>1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6</v>
      </c>
      <c r="D96" t="s">
        <v>98</v>
      </c>
      <c r="E96" t="s">
        <v>99</v>
      </c>
      <c r="F96" t="s">
        <v>82</v>
      </c>
      <c r="G96">
        <v>0</v>
      </c>
      <c r="H96">
        <v>2E+20</v>
      </c>
      <c r="I96">
        <v>0</v>
      </c>
      <c r="J96">
        <v>1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3">
      <c r="A97" t="s">
        <v>66</v>
      </c>
      <c r="B97" t="s">
        <v>68</v>
      </c>
      <c r="C97">
        <v>6</v>
      </c>
      <c r="D97" t="s">
        <v>69</v>
      </c>
      <c r="E97" t="s">
        <v>100</v>
      </c>
      <c r="F97" t="s">
        <v>71</v>
      </c>
      <c r="G97">
        <v>1.1577111225029799</v>
      </c>
      <c r="H97">
        <v>2E+20</v>
      </c>
      <c r="I97">
        <v>0</v>
      </c>
      <c r="J97">
        <v>3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0.112285312750481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1.1577111225029799</v>
      </c>
      <c r="U97">
        <f>IF((ContinuousStatsTable[[#This Row],[RepsRequested]]&gt;1),ContinuousStatsTable[[#This Row],[HalfWidth]],ContinuousStatsTable[[#This Row],[BatchMeansHalfWidth]])</f>
        <v>0.21814478487117156</v>
      </c>
    </row>
    <row r="98" spans="1:21" x14ac:dyDescent="0.3">
      <c r="A98" t="s">
        <v>66</v>
      </c>
      <c r="B98" t="s">
        <v>68</v>
      </c>
      <c r="C98">
        <v>6</v>
      </c>
      <c r="D98" t="s">
        <v>72</v>
      </c>
      <c r="E98" t="s">
        <v>100</v>
      </c>
      <c r="F98" t="s">
        <v>71</v>
      </c>
      <c r="G98">
        <v>0.36866578933268701</v>
      </c>
      <c r="H98">
        <v>2E+20</v>
      </c>
      <c r="I98">
        <v>0</v>
      </c>
      <c r="J98">
        <v>2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0.14331492780305599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1.4544545357388801</v>
      </c>
      <c r="U98">
        <f>IF((ContinuousStatsTable[[#This Row],[RepsRequested]]&gt;1),ContinuousStatsTable[[#This Row],[HalfWidth]],ContinuousStatsTable[[#This Row],[BatchMeansHalfWidth]])</f>
        <v>0.28551832117895298</v>
      </c>
    </row>
    <row r="99" spans="1:21" x14ac:dyDescent="0.3">
      <c r="A99" t="s">
        <v>66</v>
      </c>
      <c r="B99" t="s">
        <v>68</v>
      </c>
      <c r="C99">
        <v>6</v>
      </c>
      <c r="D99" t="s">
        <v>73</v>
      </c>
      <c r="E99" t="s">
        <v>100</v>
      </c>
      <c r="F99" t="s">
        <v>71</v>
      </c>
      <c r="G99">
        <v>0.50003922253590904</v>
      </c>
      <c r="H99">
        <v>2E+20</v>
      </c>
      <c r="I99">
        <v>0</v>
      </c>
      <c r="J99">
        <v>3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0.21331563144656099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1.22637838136578</v>
      </c>
      <c r="U99">
        <f>IF((ContinuousStatsTable[[#This Row],[RepsRequested]]&gt;1),ContinuousStatsTable[[#This Row],[HalfWidth]],ContinuousStatsTable[[#This Row],[BatchMeansHalfWidth]])</f>
        <v>0.22870353772187338</v>
      </c>
    </row>
    <row r="100" spans="1:21" x14ac:dyDescent="0.3">
      <c r="A100" t="s">
        <v>66</v>
      </c>
      <c r="B100" t="s">
        <v>68</v>
      </c>
      <c r="C100">
        <v>6</v>
      </c>
      <c r="D100" t="s">
        <v>80</v>
      </c>
      <c r="E100" t="s">
        <v>99</v>
      </c>
      <c r="F100" t="s">
        <v>82</v>
      </c>
      <c r="G100">
        <v>1.1682238910292699</v>
      </c>
      <c r="H100">
        <v>2E+20</v>
      </c>
      <c r="I100">
        <v>0</v>
      </c>
      <c r="J100">
        <v>3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0.73791054391385202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2.0648494861280899</v>
      </c>
      <c r="U100">
        <f>IF((ContinuousStatsTable[[#This Row],[RepsRequested]]&gt;1),ContinuousStatsTable[[#This Row],[HalfWidth]],ContinuousStatsTable[[#This Row],[BatchMeansHalfWidth]])</f>
        <v>0.28423495041220082</v>
      </c>
    </row>
    <row r="101" spans="1:21" x14ac:dyDescent="0.3">
      <c r="A101" t="s">
        <v>66</v>
      </c>
      <c r="B101" t="s">
        <v>68</v>
      </c>
      <c r="C101">
        <v>6</v>
      </c>
      <c r="D101" t="s">
        <v>88</v>
      </c>
      <c r="E101" t="s">
        <v>99</v>
      </c>
      <c r="F101" t="s">
        <v>82</v>
      </c>
      <c r="G101">
        <v>1.7287464139411901</v>
      </c>
      <c r="H101">
        <v>2E+20</v>
      </c>
      <c r="I101">
        <v>0</v>
      </c>
      <c r="J101">
        <v>4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1.2311050618933901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2.06949400203548</v>
      </c>
      <c r="U101">
        <f>IF((ContinuousStatsTable[[#This Row],[RepsRequested]]&gt;1),ContinuousStatsTable[[#This Row],[HalfWidth]],ContinuousStatsTable[[#This Row],[BatchMeansHalfWidth]])</f>
        <v>0.2005202009511077</v>
      </c>
    </row>
    <row r="102" spans="1:21" x14ac:dyDescent="0.3">
      <c r="A102" t="s">
        <v>66</v>
      </c>
      <c r="B102" t="s">
        <v>68</v>
      </c>
      <c r="C102">
        <v>6</v>
      </c>
      <c r="D102" t="s">
        <v>89</v>
      </c>
      <c r="E102" t="s">
        <v>99</v>
      </c>
      <c r="F102" t="s">
        <v>82</v>
      </c>
      <c r="G102">
        <v>1.6623255879926</v>
      </c>
      <c r="H102">
        <v>2E+20</v>
      </c>
      <c r="I102">
        <v>0</v>
      </c>
      <c r="J102">
        <v>4</v>
      </c>
      <c r="K102">
        <v>4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0.61363727304496296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1.6623255879926</v>
      </c>
      <c r="U102">
        <f>IF((ContinuousStatsTable[[#This Row],[RepsRequested]]&gt;1),ContinuousStatsTable[[#This Row],[HalfWidth]],ContinuousStatsTable[[#This Row],[BatchMeansHalfWidth]])</f>
        <v>0.25768116607482183</v>
      </c>
    </row>
    <row r="103" spans="1:21" x14ac:dyDescent="0.3">
      <c r="A103" t="s">
        <v>66</v>
      </c>
      <c r="B103" t="s">
        <v>68</v>
      </c>
      <c r="C103">
        <v>6</v>
      </c>
      <c r="D103" t="s">
        <v>90</v>
      </c>
      <c r="E103" t="s">
        <v>99</v>
      </c>
      <c r="F103" t="s">
        <v>82</v>
      </c>
      <c r="G103">
        <v>0.82142168923556802</v>
      </c>
      <c r="H103">
        <v>2E+20</v>
      </c>
      <c r="I103">
        <v>0</v>
      </c>
      <c r="J103">
        <v>3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0.82142168923556802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1.71735388547157</v>
      </c>
      <c r="U103">
        <f>IF((ContinuousStatsTable[[#This Row],[RepsRequested]]&gt;1),ContinuousStatsTable[[#This Row],[HalfWidth]],ContinuousStatsTable[[#This Row],[BatchMeansHalfWidth]])</f>
        <v>0.21990226582093259</v>
      </c>
    </row>
    <row r="104" spans="1:21" x14ac:dyDescent="0.3">
      <c r="A104" t="s">
        <v>66</v>
      </c>
      <c r="B104" t="s">
        <v>68</v>
      </c>
      <c r="C104">
        <v>7</v>
      </c>
      <c r="D104" t="s">
        <v>91</v>
      </c>
      <c r="E104" t="s">
        <v>92</v>
      </c>
      <c r="F104" t="s">
        <v>93</v>
      </c>
      <c r="G104">
        <v>0.89664970452561799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0.70923148168898098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0.92513911074198196</v>
      </c>
      <c r="U104">
        <f>IF((ContinuousStatsTable[[#This Row],[RepsRequested]]&gt;1),ContinuousStatsTable[[#This Row],[HalfWidth]],ContinuousStatsTable[[#This Row],[BatchMeansHalfWidth]])</f>
        <v>4.617487688207024E-2</v>
      </c>
    </row>
    <row r="105" spans="1:21" x14ac:dyDescent="0.3">
      <c r="A105" t="s">
        <v>66</v>
      </c>
      <c r="B105" t="s">
        <v>68</v>
      </c>
      <c r="C105">
        <v>7</v>
      </c>
      <c r="D105" t="s">
        <v>91</v>
      </c>
      <c r="E105" t="s">
        <v>94</v>
      </c>
      <c r="F105" t="s">
        <v>93</v>
      </c>
      <c r="G105">
        <v>0.89664970452561799</v>
      </c>
      <c r="H105">
        <v>2E+20</v>
      </c>
      <c r="I105">
        <v>0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0.70923148168898098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0.92513911074198196</v>
      </c>
      <c r="U105">
        <f>IF((ContinuousStatsTable[[#This Row],[RepsRequested]]&gt;1),ContinuousStatsTable[[#This Row],[HalfWidth]],ContinuousStatsTable[[#This Row],[BatchMeansHalfWidth]])</f>
        <v>4.617487688207024E-2</v>
      </c>
    </row>
    <row r="106" spans="1:21" x14ac:dyDescent="0.3">
      <c r="A106" t="s">
        <v>66</v>
      </c>
      <c r="B106" t="s">
        <v>68</v>
      </c>
      <c r="C106">
        <v>7</v>
      </c>
      <c r="D106" t="s">
        <v>91</v>
      </c>
      <c r="E106" t="s">
        <v>95</v>
      </c>
      <c r="F106" t="s">
        <v>93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3">
      <c r="A107" t="s">
        <v>66</v>
      </c>
      <c r="B107" t="s">
        <v>68</v>
      </c>
      <c r="C107">
        <v>7</v>
      </c>
      <c r="D107" t="s">
        <v>96</v>
      </c>
      <c r="E107" t="s">
        <v>92</v>
      </c>
      <c r="F107" t="s">
        <v>93</v>
      </c>
      <c r="G107">
        <v>0.85837000633203198</v>
      </c>
      <c r="H107">
        <v>2E+20</v>
      </c>
      <c r="I107">
        <v>0</v>
      </c>
      <c r="J107">
        <v>1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0.71728584076343305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0.91938608785018705</v>
      </c>
      <c r="U107">
        <f>IF((ContinuousStatsTable[[#This Row],[RepsRequested]]&gt;1),ContinuousStatsTable[[#This Row],[HalfWidth]],ContinuousStatsTable[[#This Row],[BatchMeansHalfWidth]])</f>
        <v>4.3798869913993184E-2</v>
      </c>
    </row>
    <row r="108" spans="1:21" x14ac:dyDescent="0.3">
      <c r="A108" t="s">
        <v>66</v>
      </c>
      <c r="B108" t="s">
        <v>68</v>
      </c>
      <c r="C108">
        <v>7</v>
      </c>
      <c r="D108" t="s">
        <v>96</v>
      </c>
      <c r="E108" t="s">
        <v>94</v>
      </c>
      <c r="F108" t="s">
        <v>93</v>
      </c>
      <c r="G108">
        <v>0.85837000633203198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0.71728584076343305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0.91938608785018705</v>
      </c>
      <c r="U108">
        <f>IF((ContinuousStatsTable[[#This Row],[RepsRequested]]&gt;1),ContinuousStatsTable[[#This Row],[HalfWidth]],ContinuousStatsTable[[#This Row],[BatchMeansHalfWidth]])</f>
        <v>4.3798869913993184E-2</v>
      </c>
    </row>
    <row r="109" spans="1:21" x14ac:dyDescent="0.3">
      <c r="A109" t="s">
        <v>66</v>
      </c>
      <c r="B109" t="s">
        <v>68</v>
      </c>
      <c r="C109">
        <v>7</v>
      </c>
      <c r="D109" t="s">
        <v>96</v>
      </c>
      <c r="E109" t="s">
        <v>95</v>
      </c>
      <c r="F109" t="s">
        <v>93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3">
      <c r="A110" t="s">
        <v>66</v>
      </c>
      <c r="B110" t="s">
        <v>68</v>
      </c>
      <c r="C110">
        <v>7</v>
      </c>
      <c r="D110" t="s">
        <v>97</v>
      </c>
      <c r="E110" t="s">
        <v>92</v>
      </c>
      <c r="F110" t="s">
        <v>93</v>
      </c>
      <c r="G110">
        <v>0.73089144561516906</v>
      </c>
      <c r="H110">
        <v>2E+20</v>
      </c>
      <c r="I110">
        <v>0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0.69586636126078405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0.89372434220669095</v>
      </c>
      <c r="U110">
        <f>IF((ContinuousStatsTable[[#This Row],[RepsRequested]]&gt;1),ContinuousStatsTable[[#This Row],[HalfWidth]],ContinuousStatsTable[[#This Row],[BatchMeansHalfWidth]])</f>
        <v>4.8321681102076373E-2</v>
      </c>
    </row>
    <row r="111" spans="1:21" x14ac:dyDescent="0.3">
      <c r="A111" t="s">
        <v>66</v>
      </c>
      <c r="B111" t="s">
        <v>68</v>
      </c>
      <c r="C111">
        <v>7</v>
      </c>
      <c r="D111" t="s">
        <v>97</v>
      </c>
      <c r="E111" t="s">
        <v>94</v>
      </c>
      <c r="F111" t="s">
        <v>93</v>
      </c>
      <c r="G111">
        <v>0.73089144561516906</v>
      </c>
      <c r="H111">
        <v>2E+20</v>
      </c>
      <c r="I111">
        <v>0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0.69586636126078405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0.89372434220669095</v>
      </c>
      <c r="U111">
        <f>IF((ContinuousStatsTable[[#This Row],[RepsRequested]]&gt;1),ContinuousStatsTable[[#This Row],[HalfWidth]],ContinuousStatsTable[[#This Row],[BatchMeansHalfWidth]])</f>
        <v>4.8321681102076373E-2</v>
      </c>
    </row>
    <row r="112" spans="1:21" x14ac:dyDescent="0.3">
      <c r="A112" t="s">
        <v>66</v>
      </c>
      <c r="B112" t="s">
        <v>68</v>
      </c>
      <c r="C112">
        <v>7</v>
      </c>
      <c r="D112" t="s">
        <v>97</v>
      </c>
      <c r="E112" t="s">
        <v>95</v>
      </c>
      <c r="F112" t="s">
        <v>93</v>
      </c>
      <c r="G112">
        <v>1</v>
      </c>
      <c r="H112">
        <v>2E+20</v>
      </c>
      <c r="I112">
        <v>1</v>
      </c>
      <c r="J112">
        <v>1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</v>
      </c>
      <c r="U112">
        <f>IF((ContinuousStatsTable[[#This Row],[RepsRequested]]&gt;1),ContinuousStatsTable[[#This Row],[HalfWidth]],ContinuousStatsTable[[#This Row],[BatchMeansHalfWidth]])</f>
        <v>0</v>
      </c>
    </row>
    <row r="113" spans="1:21" x14ac:dyDescent="0.3">
      <c r="A113" t="s">
        <v>66</v>
      </c>
      <c r="B113" t="s">
        <v>68</v>
      </c>
      <c r="C113">
        <v>7</v>
      </c>
      <c r="D113" t="s">
        <v>98</v>
      </c>
      <c r="E113" t="s">
        <v>99</v>
      </c>
      <c r="F113" t="s">
        <v>82</v>
      </c>
      <c r="G113">
        <v>0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>
        <f>IF((ContinuousStatsTable[[#This Row],[RepsRequested]]&gt;1),ContinuousStatsTable[[#This Row],[HalfWidth]],ContinuousStatsTable[[#This Row],[BatchMeansHalfWidth]])</f>
        <v>0</v>
      </c>
    </row>
    <row r="114" spans="1:21" x14ac:dyDescent="0.3">
      <c r="A114" t="s">
        <v>66</v>
      </c>
      <c r="B114" t="s">
        <v>68</v>
      </c>
      <c r="C114">
        <v>7</v>
      </c>
      <c r="D114" t="s">
        <v>69</v>
      </c>
      <c r="E114" t="s">
        <v>100</v>
      </c>
      <c r="F114" t="s">
        <v>71</v>
      </c>
      <c r="G114">
        <v>0.58569215978676903</v>
      </c>
      <c r="H114">
        <v>2E+20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0.112285312750481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1.1577111225029799</v>
      </c>
      <c r="U114">
        <f>IF((ContinuousStatsTable[[#This Row],[RepsRequested]]&gt;1),ContinuousStatsTable[[#This Row],[HalfWidth]],ContinuousStatsTable[[#This Row],[BatchMeansHalfWidth]])</f>
        <v>0.21814478487117156</v>
      </c>
    </row>
    <row r="115" spans="1:21" x14ac:dyDescent="0.3">
      <c r="A115" t="s">
        <v>66</v>
      </c>
      <c r="B115" t="s">
        <v>68</v>
      </c>
      <c r="C115">
        <v>7</v>
      </c>
      <c r="D115" t="s">
        <v>72</v>
      </c>
      <c r="E115" t="s">
        <v>100</v>
      </c>
      <c r="F115" t="s">
        <v>71</v>
      </c>
      <c r="G115">
        <v>0.36122746646842502</v>
      </c>
      <c r="H115">
        <v>2E+20</v>
      </c>
      <c r="I115">
        <v>0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0.14331492780305599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1.4544545357388801</v>
      </c>
      <c r="U115">
        <f>IF((ContinuousStatsTable[[#This Row],[RepsRequested]]&gt;1),ContinuousStatsTable[[#This Row],[HalfWidth]],ContinuousStatsTable[[#This Row],[BatchMeansHalfWidth]])</f>
        <v>0.28551832117895298</v>
      </c>
    </row>
    <row r="116" spans="1:21" x14ac:dyDescent="0.3">
      <c r="A116" t="s">
        <v>66</v>
      </c>
      <c r="B116" t="s">
        <v>68</v>
      </c>
      <c r="C116">
        <v>7</v>
      </c>
      <c r="D116" t="s">
        <v>73</v>
      </c>
      <c r="E116" t="s">
        <v>100</v>
      </c>
      <c r="F116" t="s">
        <v>71</v>
      </c>
      <c r="G116">
        <v>0.47351771582340901</v>
      </c>
      <c r="H116">
        <v>2E+20</v>
      </c>
      <c r="I116">
        <v>0</v>
      </c>
      <c r="J116">
        <v>3</v>
      </c>
      <c r="K116">
        <v>2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0.21331563144656099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1.22637838136578</v>
      </c>
      <c r="U116">
        <f>IF((ContinuousStatsTable[[#This Row],[RepsRequested]]&gt;1),ContinuousStatsTable[[#This Row],[HalfWidth]],ContinuousStatsTable[[#This Row],[BatchMeansHalfWidth]])</f>
        <v>0.22870353772187338</v>
      </c>
    </row>
    <row r="117" spans="1:21" x14ac:dyDescent="0.3">
      <c r="A117" t="s">
        <v>66</v>
      </c>
      <c r="B117" t="s">
        <v>68</v>
      </c>
      <c r="C117">
        <v>7</v>
      </c>
      <c r="D117" t="s">
        <v>80</v>
      </c>
      <c r="E117" t="s">
        <v>99</v>
      </c>
      <c r="F117" t="s">
        <v>82</v>
      </c>
      <c r="G117">
        <v>1.0726974790752</v>
      </c>
      <c r="H117">
        <v>2E+20</v>
      </c>
      <c r="I117">
        <v>0</v>
      </c>
      <c r="J117">
        <v>3</v>
      </c>
      <c r="K117">
        <v>2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0.73791054391385202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2.0648494861280899</v>
      </c>
      <c r="U117">
        <f>IF((ContinuousStatsTable[[#This Row],[RepsRequested]]&gt;1),ContinuousStatsTable[[#This Row],[HalfWidth]],ContinuousStatsTable[[#This Row],[BatchMeansHalfWidth]])</f>
        <v>0.28423495041220082</v>
      </c>
    </row>
    <row r="118" spans="1:21" x14ac:dyDescent="0.3">
      <c r="A118" t="s">
        <v>66</v>
      </c>
      <c r="B118" t="s">
        <v>68</v>
      </c>
      <c r="C118">
        <v>7</v>
      </c>
      <c r="D118" t="s">
        <v>88</v>
      </c>
      <c r="E118" t="s">
        <v>99</v>
      </c>
      <c r="F118" t="s">
        <v>82</v>
      </c>
      <c r="G118">
        <v>1.79598360515388</v>
      </c>
      <c r="H118">
        <v>2E+20</v>
      </c>
      <c r="I118">
        <v>0</v>
      </c>
      <c r="J118">
        <v>6</v>
      </c>
      <c r="K118">
        <v>4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1.2311050618933901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2.06949400203548</v>
      </c>
      <c r="U118">
        <f>IF((ContinuousStatsTable[[#This Row],[RepsRequested]]&gt;1),ContinuousStatsTable[[#This Row],[HalfWidth]],ContinuousStatsTable[[#This Row],[BatchMeansHalfWidth]])</f>
        <v>0.2005202009511077</v>
      </c>
    </row>
    <row r="119" spans="1:21" x14ac:dyDescent="0.3">
      <c r="A119" t="s">
        <v>66</v>
      </c>
      <c r="B119" t="s">
        <v>68</v>
      </c>
      <c r="C119">
        <v>7</v>
      </c>
      <c r="D119" t="s">
        <v>89</v>
      </c>
      <c r="E119" t="s">
        <v>99</v>
      </c>
      <c r="F119" t="s">
        <v>82</v>
      </c>
      <c r="G119">
        <v>0.97914017564122102</v>
      </c>
      <c r="H119">
        <v>2E+20</v>
      </c>
      <c r="I119">
        <v>0</v>
      </c>
      <c r="J119">
        <v>3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0.61363727304496296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1.6623255879926</v>
      </c>
      <c r="U119">
        <f>IF((ContinuousStatsTable[[#This Row],[RepsRequested]]&gt;1),ContinuousStatsTable[[#This Row],[HalfWidth]],ContinuousStatsTable[[#This Row],[BatchMeansHalfWidth]])</f>
        <v>0.25768116607482183</v>
      </c>
    </row>
    <row r="120" spans="1:21" x14ac:dyDescent="0.3">
      <c r="A120" t="s">
        <v>66</v>
      </c>
      <c r="B120" t="s">
        <v>68</v>
      </c>
      <c r="C120">
        <v>7</v>
      </c>
      <c r="D120" t="s">
        <v>90</v>
      </c>
      <c r="E120" t="s">
        <v>99</v>
      </c>
      <c r="F120" t="s">
        <v>82</v>
      </c>
      <c r="G120">
        <v>0.96477723868112397</v>
      </c>
      <c r="H120">
        <v>2E+20</v>
      </c>
      <c r="I120">
        <v>0</v>
      </c>
      <c r="J120">
        <v>3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0.82142168923556802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1.71735388547157</v>
      </c>
      <c r="U120">
        <f>IF((ContinuousStatsTable[[#This Row],[RepsRequested]]&gt;1),ContinuousStatsTable[[#This Row],[HalfWidth]],ContinuousStatsTable[[#This Row],[BatchMeansHalfWidth]])</f>
        <v>0.21990226582093259</v>
      </c>
    </row>
    <row r="121" spans="1:21" x14ac:dyDescent="0.3">
      <c r="A121" t="s">
        <v>66</v>
      </c>
      <c r="B121" t="s">
        <v>68</v>
      </c>
      <c r="C121">
        <v>8</v>
      </c>
      <c r="D121" t="s">
        <v>91</v>
      </c>
      <c r="E121" t="s">
        <v>92</v>
      </c>
      <c r="F121" t="s">
        <v>93</v>
      </c>
      <c r="G121">
        <v>0.78750872668755401</v>
      </c>
      <c r="H121">
        <v>2E+20</v>
      </c>
      <c r="I121">
        <v>0</v>
      </c>
      <c r="J121">
        <v>1</v>
      </c>
      <c r="K121">
        <v>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0.70923148168898098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0.92513911074198196</v>
      </c>
      <c r="U121">
        <f>IF((ContinuousStatsTable[[#This Row],[RepsRequested]]&gt;1),ContinuousStatsTable[[#This Row],[HalfWidth]],ContinuousStatsTable[[#This Row],[BatchMeansHalfWidth]])</f>
        <v>4.617487688207024E-2</v>
      </c>
    </row>
    <row r="122" spans="1:21" x14ac:dyDescent="0.3">
      <c r="A122" t="s">
        <v>66</v>
      </c>
      <c r="B122" t="s">
        <v>68</v>
      </c>
      <c r="C122">
        <v>8</v>
      </c>
      <c r="D122" t="s">
        <v>91</v>
      </c>
      <c r="E122" t="s">
        <v>94</v>
      </c>
      <c r="F122" t="s">
        <v>93</v>
      </c>
      <c r="G122">
        <v>0.78750872668755401</v>
      </c>
      <c r="H122">
        <v>2E+20</v>
      </c>
      <c r="I122">
        <v>0</v>
      </c>
      <c r="J122">
        <v>1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0.70923148168898098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0.92513911074198196</v>
      </c>
      <c r="U122">
        <f>IF((ContinuousStatsTable[[#This Row],[RepsRequested]]&gt;1),ContinuousStatsTable[[#This Row],[HalfWidth]],ContinuousStatsTable[[#This Row],[BatchMeansHalfWidth]])</f>
        <v>4.617487688207024E-2</v>
      </c>
    </row>
    <row r="123" spans="1:21" x14ac:dyDescent="0.3">
      <c r="A123" t="s">
        <v>66</v>
      </c>
      <c r="B123" t="s">
        <v>68</v>
      </c>
      <c r="C123">
        <v>8</v>
      </c>
      <c r="D123" t="s">
        <v>91</v>
      </c>
      <c r="E123" t="s">
        <v>95</v>
      </c>
      <c r="F123" t="s">
        <v>93</v>
      </c>
      <c r="G123">
        <v>1</v>
      </c>
      <c r="H123">
        <v>2E+20</v>
      </c>
      <c r="I123">
        <v>1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3">
      <c r="A124" t="s">
        <v>66</v>
      </c>
      <c r="B124" t="s">
        <v>68</v>
      </c>
      <c r="C124">
        <v>8</v>
      </c>
      <c r="D124" t="s">
        <v>96</v>
      </c>
      <c r="E124" t="s">
        <v>92</v>
      </c>
      <c r="F124" t="s">
        <v>93</v>
      </c>
      <c r="G124">
        <v>0.91225274068705997</v>
      </c>
      <c r="H124">
        <v>2E+20</v>
      </c>
      <c r="I124">
        <v>0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0.71728584076343305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0.91938608785018705</v>
      </c>
      <c r="U124">
        <f>IF((ContinuousStatsTable[[#This Row],[RepsRequested]]&gt;1),ContinuousStatsTable[[#This Row],[HalfWidth]],ContinuousStatsTable[[#This Row],[BatchMeansHalfWidth]])</f>
        <v>4.3798869913993184E-2</v>
      </c>
    </row>
    <row r="125" spans="1:21" x14ac:dyDescent="0.3">
      <c r="A125" t="s">
        <v>66</v>
      </c>
      <c r="B125" t="s">
        <v>68</v>
      </c>
      <c r="C125">
        <v>8</v>
      </c>
      <c r="D125" t="s">
        <v>96</v>
      </c>
      <c r="E125" t="s">
        <v>94</v>
      </c>
      <c r="F125" t="s">
        <v>93</v>
      </c>
      <c r="G125">
        <v>0.91225274068705997</v>
      </c>
      <c r="H125">
        <v>2E+20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0.71728584076343305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0.91938608785018705</v>
      </c>
      <c r="U125">
        <f>IF((ContinuousStatsTable[[#This Row],[RepsRequested]]&gt;1),ContinuousStatsTable[[#This Row],[HalfWidth]],ContinuousStatsTable[[#This Row],[BatchMeansHalfWidth]])</f>
        <v>4.3798869913993184E-2</v>
      </c>
    </row>
    <row r="126" spans="1:21" x14ac:dyDescent="0.3">
      <c r="A126" t="s">
        <v>66</v>
      </c>
      <c r="B126" t="s">
        <v>68</v>
      </c>
      <c r="C126">
        <v>8</v>
      </c>
      <c r="D126" t="s">
        <v>96</v>
      </c>
      <c r="E126" t="s">
        <v>95</v>
      </c>
      <c r="F126" t="s">
        <v>93</v>
      </c>
      <c r="G126">
        <v>1</v>
      </c>
      <c r="H126">
        <v>2E+20</v>
      </c>
      <c r="I126">
        <v>1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1</v>
      </c>
      <c r="U126">
        <f>IF((ContinuousStatsTable[[#This Row],[RepsRequested]]&gt;1),ContinuousStatsTable[[#This Row],[HalfWidth]],ContinuousStatsTable[[#This Row],[BatchMeansHalfWidth]])</f>
        <v>0</v>
      </c>
    </row>
    <row r="127" spans="1:21" x14ac:dyDescent="0.3">
      <c r="A127" t="s">
        <v>66</v>
      </c>
      <c r="B127" t="s">
        <v>68</v>
      </c>
      <c r="C127">
        <v>8</v>
      </c>
      <c r="D127" t="s">
        <v>97</v>
      </c>
      <c r="E127" t="s">
        <v>92</v>
      </c>
      <c r="F127" t="s">
        <v>93</v>
      </c>
      <c r="G127">
        <v>0.72793678885355895</v>
      </c>
      <c r="H127">
        <v>2E+20</v>
      </c>
      <c r="I127">
        <v>0</v>
      </c>
      <c r="J127">
        <v>1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0.69586636126078405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0.89372434220669095</v>
      </c>
      <c r="U127">
        <f>IF((ContinuousStatsTable[[#This Row],[RepsRequested]]&gt;1),ContinuousStatsTable[[#This Row],[HalfWidth]],ContinuousStatsTable[[#This Row],[BatchMeansHalfWidth]])</f>
        <v>4.8321681102076373E-2</v>
      </c>
    </row>
    <row r="128" spans="1:21" x14ac:dyDescent="0.3">
      <c r="A128" t="s">
        <v>66</v>
      </c>
      <c r="B128" t="s">
        <v>68</v>
      </c>
      <c r="C128">
        <v>8</v>
      </c>
      <c r="D128" t="s">
        <v>97</v>
      </c>
      <c r="E128" t="s">
        <v>94</v>
      </c>
      <c r="F128" t="s">
        <v>93</v>
      </c>
      <c r="G128">
        <v>0.72793678885355895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0.69586636126078405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0.89372434220669095</v>
      </c>
      <c r="U128">
        <f>IF((ContinuousStatsTable[[#This Row],[RepsRequested]]&gt;1),ContinuousStatsTable[[#This Row],[HalfWidth]],ContinuousStatsTable[[#This Row],[BatchMeansHalfWidth]])</f>
        <v>4.8321681102076373E-2</v>
      </c>
    </row>
    <row r="129" spans="1:21" x14ac:dyDescent="0.3">
      <c r="A129" t="s">
        <v>66</v>
      </c>
      <c r="B129" t="s">
        <v>68</v>
      </c>
      <c r="C129">
        <v>8</v>
      </c>
      <c r="D129" t="s">
        <v>97</v>
      </c>
      <c r="E129" t="s">
        <v>95</v>
      </c>
      <c r="F129" t="s">
        <v>93</v>
      </c>
      <c r="G129">
        <v>1</v>
      </c>
      <c r="H129">
        <v>2E+20</v>
      </c>
      <c r="I129">
        <v>1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>
        <f>IF((ContinuousStatsTable[[#This Row],[RepsRequested]]&gt;1),ContinuousStatsTable[[#This Row],[HalfWidth]],ContinuousStatsTable[[#This Row],[BatchMeansHalfWidth]])</f>
        <v>0</v>
      </c>
    </row>
    <row r="130" spans="1:21" x14ac:dyDescent="0.3">
      <c r="A130" t="s">
        <v>66</v>
      </c>
      <c r="B130" t="s">
        <v>68</v>
      </c>
      <c r="C130">
        <v>8</v>
      </c>
      <c r="D130" t="s">
        <v>98</v>
      </c>
      <c r="E130" t="s">
        <v>99</v>
      </c>
      <c r="F130" t="s">
        <v>82</v>
      </c>
      <c r="G130">
        <v>0</v>
      </c>
      <c r="H130">
        <v>2E+20</v>
      </c>
      <c r="I130">
        <v>0</v>
      </c>
      <c r="J130">
        <v>1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8</v>
      </c>
      <c r="D131" t="s">
        <v>69</v>
      </c>
      <c r="E131" t="s">
        <v>100</v>
      </c>
      <c r="F131" t="s">
        <v>71</v>
      </c>
      <c r="G131">
        <v>0.25693106807608401</v>
      </c>
      <c r="H131">
        <v>2E+20</v>
      </c>
      <c r="I131">
        <v>0</v>
      </c>
      <c r="J131">
        <v>2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0.112285312750481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1.1577111225029799</v>
      </c>
      <c r="U131">
        <f>IF((ContinuousStatsTable[[#This Row],[RepsRequested]]&gt;1),ContinuousStatsTable[[#This Row],[HalfWidth]],ContinuousStatsTable[[#This Row],[BatchMeansHalfWidth]])</f>
        <v>0.21814478487117156</v>
      </c>
    </row>
    <row r="132" spans="1:21" x14ac:dyDescent="0.3">
      <c r="A132" t="s">
        <v>66</v>
      </c>
      <c r="B132" t="s">
        <v>68</v>
      </c>
      <c r="C132">
        <v>8</v>
      </c>
      <c r="D132" t="s">
        <v>72</v>
      </c>
      <c r="E132" t="s">
        <v>100</v>
      </c>
      <c r="F132" t="s">
        <v>71</v>
      </c>
      <c r="G132">
        <v>1.4544545357388801</v>
      </c>
      <c r="H132">
        <v>2E+20</v>
      </c>
      <c r="I132">
        <v>0</v>
      </c>
      <c r="J132">
        <v>4</v>
      </c>
      <c r="K132">
        <v>2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0.14331492780305599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1.4544545357388801</v>
      </c>
      <c r="U132">
        <f>IF((ContinuousStatsTable[[#This Row],[RepsRequested]]&gt;1),ContinuousStatsTable[[#This Row],[HalfWidth]],ContinuousStatsTable[[#This Row],[BatchMeansHalfWidth]])</f>
        <v>0.28551832117895298</v>
      </c>
    </row>
    <row r="133" spans="1:21" x14ac:dyDescent="0.3">
      <c r="A133" t="s">
        <v>66</v>
      </c>
      <c r="B133" t="s">
        <v>68</v>
      </c>
      <c r="C133">
        <v>8</v>
      </c>
      <c r="D133" t="s">
        <v>73</v>
      </c>
      <c r="E133" t="s">
        <v>100</v>
      </c>
      <c r="F133" t="s">
        <v>71</v>
      </c>
      <c r="G133">
        <v>0.240354846220696</v>
      </c>
      <c r="H133">
        <v>2E+20</v>
      </c>
      <c r="I133">
        <v>0</v>
      </c>
      <c r="J133">
        <v>2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0.21331563144656099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1.22637838136578</v>
      </c>
      <c r="U133">
        <f>IF((ContinuousStatsTable[[#This Row],[RepsRequested]]&gt;1),ContinuousStatsTable[[#This Row],[HalfWidth]],ContinuousStatsTable[[#This Row],[BatchMeansHalfWidth]])</f>
        <v>0.22870353772187338</v>
      </c>
    </row>
    <row r="134" spans="1:21" x14ac:dyDescent="0.3">
      <c r="A134" t="s">
        <v>66</v>
      </c>
      <c r="B134" t="s">
        <v>68</v>
      </c>
      <c r="C134">
        <v>8</v>
      </c>
      <c r="D134" t="s">
        <v>80</v>
      </c>
      <c r="E134" t="s">
        <v>99</v>
      </c>
      <c r="F134" t="s">
        <v>82</v>
      </c>
      <c r="G134">
        <v>0.76447271432418296</v>
      </c>
      <c r="H134">
        <v>2E+20</v>
      </c>
      <c r="I134">
        <v>0</v>
      </c>
      <c r="J134">
        <v>2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0.73791054391385202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2.0648494861280899</v>
      </c>
      <c r="U134">
        <f>IF((ContinuousStatsTable[[#This Row],[RepsRequested]]&gt;1),ContinuousStatsTable[[#This Row],[HalfWidth]],ContinuousStatsTable[[#This Row],[BatchMeansHalfWidth]])</f>
        <v>0.28423495041220082</v>
      </c>
    </row>
    <row r="135" spans="1:21" x14ac:dyDescent="0.3">
      <c r="A135" t="s">
        <v>66</v>
      </c>
      <c r="B135" t="s">
        <v>68</v>
      </c>
      <c r="C135">
        <v>8</v>
      </c>
      <c r="D135" t="s">
        <v>88</v>
      </c>
      <c r="E135" t="s">
        <v>99</v>
      </c>
      <c r="F135" t="s">
        <v>82</v>
      </c>
      <c r="G135">
        <v>1.27999645925998</v>
      </c>
      <c r="H135">
        <v>2E+20</v>
      </c>
      <c r="I135">
        <v>0</v>
      </c>
      <c r="J135">
        <v>3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1.2311050618933901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2.06949400203548</v>
      </c>
      <c r="U135">
        <f>IF((ContinuousStatsTable[[#This Row],[RepsRequested]]&gt;1),ContinuousStatsTable[[#This Row],[HalfWidth]],ContinuousStatsTable[[#This Row],[BatchMeansHalfWidth]])</f>
        <v>0.2005202009511077</v>
      </c>
    </row>
    <row r="136" spans="1:21" x14ac:dyDescent="0.3">
      <c r="A136" t="s">
        <v>66</v>
      </c>
      <c r="B136" t="s">
        <v>68</v>
      </c>
      <c r="C136">
        <v>8</v>
      </c>
      <c r="D136" t="s">
        <v>89</v>
      </c>
      <c r="E136" t="s">
        <v>99</v>
      </c>
      <c r="F136" t="s">
        <v>82</v>
      </c>
      <c r="G136">
        <v>1.5238656472081</v>
      </c>
      <c r="H136">
        <v>2E+20</v>
      </c>
      <c r="I136">
        <v>0</v>
      </c>
      <c r="J136">
        <v>3</v>
      </c>
      <c r="K136">
        <v>2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0.61363727304496296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1.6623255879926</v>
      </c>
      <c r="U136">
        <f>IF((ContinuousStatsTable[[#This Row],[RepsRequested]]&gt;1),ContinuousStatsTable[[#This Row],[HalfWidth]],ContinuousStatsTable[[#This Row],[BatchMeansHalfWidth]])</f>
        <v>0.25768116607482183</v>
      </c>
    </row>
    <row r="137" spans="1:21" x14ac:dyDescent="0.3">
      <c r="A137" t="s">
        <v>66</v>
      </c>
      <c r="B137" t="s">
        <v>68</v>
      </c>
      <c r="C137">
        <v>8</v>
      </c>
      <c r="D137" t="s">
        <v>90</v>
      </c>
      <c r="E137" t="s">
        <v>99</v>
      </c>
      <c r="F137" t="s">
        <v>82</v>
      </c>
      <c r="G137">
        <v>1.71735388547157</v>
      </c>
      <c r="H137">
        <v>2E+20</v>
      </c>
      <c r="I137">
        <v>0</v>
      </c>
      <c r="J137">
        <v>3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0.82142168923556802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1.71735388547157</v>
      </c>
      <c r="U137">
        <f>IF((ContinuousStatsTable[[#This Row],[RepsRequested]]&gt;1),ContinuousStatsTable[[#This Row],[HalfWidth]],ContinuousStatsTable[[#This Row],[BatchMeansHalfWidth]])</f>
        <v>0.21990226582093259</v>
      </c>
    </row>
    <row r="138" spans="1:21" x14ac:dyDescent="0.3">
      <c r="A138" t="s">
        <v>66</v>
      </c>
      <c r="B138" t="s">
        <v>68</v>
      </c>
      <c r="C138">
        <v>9</v>
      </c>
      <c r="D138" t="s">
        <v>91</v>
      </c>
      <c r="E138" t="s">
        <v>92</v>
      </c>
      <c r="F138" t="s">
        <v>93</v>
      </c>
      <c r="G138">
        <v>0.78922756928780502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0.70923148168898098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0.92513911074198196</v>
      </c>
      <c r="U138">
        <f>IF((ContinuousStatsTable[[#This Row],[RepsRequested]]&gt;1),ContinuousStatsTable[[#This Row],[HalfWidth]],ContinuousStatsTable[[#This Row],[BatchMeansHalfWidth]])</f>
        <v>4.617487688207024E-2</v>
      </c>
    </row>
    <row r="139" spans="1:21" x14ac:dyDescent="0.3">
      <c r="A139" t="s">
        <v>66</v>
      </c>
      <c r="B139" t="s">
        <v>68</v>
      </c>
      <c r="C139">
        <v>9</v>
      </c>
      <c r="D139" t="s">
        <v>91</v>
      </c>
      <c r="E139" t="s">
        <v>94</v>
      </c>
      <c r="F139" t="s">
        <v>93</v>
      </c>
      <c r="G139">
        <v>0.78922756928780502</v>
      </c>
      <c r="H139">
        <v>2E+20</v>
      </c>
      <c r="I139">
        <v>0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0.70923148168898098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0.92513911074198196</v>
      </c>
      <c r="U139">
        <f>IF((ContinuousStatsTable[[#This Row],[RepsRequested]]&gt;1),ContinuousStatsTable[[#This Row],[HalfWidth]],ContinuousStatsTable[[#This Row],[BatchMeansHalfWidth]])</f>
        <v>4.617487688207024E-2</v>
      </c>
    </row>
    <row r="140" spans="1:21" x14ac:dyDescent="0.3">
      <c r="A140" t="s">
        <v>66</v>
      </c>
      <c r="B140" t="s">
        <v>68</v>
      </c>
      <c r="C140">
        <v>9</v>
      </c>
      <c r="D140" t="s">
        <v>91</v>
      </c>
      <c r="E140" t="s">
        <v>95</v>
      </c>
      <c r="F140" t="s">
        <v>93</v>
      </c>
      <c r="G140">
        <v>1</v>
      </c>
      <c r="H140">
        <v>2E+20</v>
      </c>
      <c r="I140">
        <v>1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9</v>
      </c>
      <c r="D141" t="s">
        <v>96</v>
      </c>
      <c r="E141" t="s">
        <v>92</v>
      </c>
      <c r="F141" t="s">
        <v>93</v>
      </c>
      <c r="G141">
        <v>0.81912589087634702</v>
      </c>
      <c r="H141">
        <v>2E+20</v>
      </c>
      <c r="I141">
        <v>0</v>
      </c>
      <c r="J141">
        <v>1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0.71728584076343305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0.91938608785018705</v>
      </c>
      <c r="U141">
        <f>IF((ContinuousStatsTable[[#This Row],[RepsRequested]]&gt;1),ContinuousStatsTable[[#This Row],[HalfWidth]],ContinuousStatsTable[[#This Row],[BatchMeansHalfWidth]])</f>
        <v>4.3798869913993184E-2</v>
      </c>
    </row>
    <row r="142" spans="1:21" x14ac:dyDescent="0.3">
      <c r="A142" t="s">
        <v>66</v>
      </c>
      <c r="B142" t="s">
        <v>68</v>
      </c>
      <c r="C142">
        <v>9</v>
      </c>
      <c r="D142" t="s">
        <v>96</v>
      </c>
      <c r="E142" t="s">
        <v>94</v>
      </c>
      <c r="F142" t="s">
        <v>93</v>
      </c>
      <c r="G142">
        <v>0.81912589087634702</v>
      </c>
      <c r="H142">
        <v>2E+20</v>
      </c>
      <c r="I142">
        <v>0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0.71728584076343305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0.91938608785018705</v>
      </c>
      <c r="U142">
        <f>IF((ContinuousStatsTable[[#This Row],[RepsRequested]]&gt;1),ContinuousStatsTable[[#This Row],[HalfWidth]],ContinuousStatsTable[[#This Row],[BatchMeansHalfWidth]])</f>
        <v>4.3798869913993184E-2</v>
      </c>
    </row>
    <row r="143" spans="1:21" x14ac:dyDescent="0.3">
      <c r="A143" t="s">
        <v>66</v>
      </c>
      <c r="B143" t="s">
        <v>68</v>
      </c>
      <c r="C143">
        <v>9</v>
      </c>
      <c r="D143" t="s">
        <v>96</v>
      </c>
      <c r="E143" t="s">
        <v>95</v>
      </c>
      <c r="F143" t="s">
        <v>93</v>
      </c>
      <c r="G143">
        <v>1</v>
      </c>
      <c r="H143">
        <v>2E+20</v>
      </c>
      <c r="I143">
        <v>1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</v>
      </c>
      <c r="U143">
        <f>IF((ContinuousStatsTable[[#This Row],[RepsRequested]]&gt;1),ContinuousStatsTable[[#This Row],[HalfWidth]],ContinuousStatsTable[[#This Row],[BatchMeansHalfWidth]])</f>
        <v>0</v>
      </c>
    </row>
    <row r="144" spans="1:21" x14ac:dyDescent="0.3">
      <c r="A144" t="s">
        <v>66</v>
      </c>
      <c r="B144" t="s">
        <v>68</v>
      </c>
      <c r="C144">
        <v>9</v>
      </c>
      <c r="D144" t="s">
        <v>97</v>
      </c>
      <c r="E144" t="s">
        <v>92</v>
      </c>
      <c r="F144" t="s">
        <v>93</v>
      </c>
      <c r="G144">
        <v>0.79715158082863302</v>
      </c>
      <c r="H144">
        <v>2E+20</v>
      </c>
      <c r="I144">
        <v>0</v>
      </c>
      <c r="J144">
        <v>1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0.69586636126078405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0.89372434220669095</v>
      </c>
      <c r="U144">
        <f>IF((ContinuousStatsTable[[#This Row],[RepsRequested]]&gt;1),ContinuousStatsTable[[#This Row],[HalfWidth]],ContinuousStatsTable[[#This Row],[BatchMeansHalfWidth]])</f>
        <v>4.8321681102076373E-2</v>
      </c>
    </row>
    <row r="145" spans="1:21" x14ac:dyDescent="0.3">
      <c r="A145" t="s">
        <v>66</v>
      </c>
      <c r="B145" t="s">
        <v>68</v>
      </c>
      <c r="C145">
        <v>9</v>
      </c>
      <c r="D145" t="s">
        <v>97</v>
      </c>
      <c r="E145" t="s">
        <v>94</v>
      </c>
      <c r="F145" t="s">
        <v>93</v>
      </c>
      <c r="G145">
        <v>0.79715158082863302</v>
      </c>
      <c r="H145">
        <v>2E+20</v>
      </c>
      <c r="I145">
        <v>0</v>
      </c>
      <c r="J145">
        <v>1</v>
      </c>
      <c r="K145">
        <v>1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0.69586636126078405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0.89372434220669095</v>
      </c>
      <c r="U145">
        <f>IF((ContinuousStatsTable[[#This Row],[RepsRequested]]&gt;1),ContinuousStatsTable[[#This Row],[HalfWidth]],ContinuousStatsTable[[#This Row],[BatchMeansHalfWidth]])</f>
        <v>4.8321681102076373E-2</v>
      </c>
    </row>
    <row r="146" spans="1:21" x14ac:dyDescent="0.3">
      <c r="A146" t="s">
        <v>66</v>
      </c>
      <c r="B146" t="s">
        <v>68</v>
      </c>
      <c r="C146">
        <v>9</v>
      </c>
      <c r="D146" t="s">
        <v>97</v>
      </c>
      <c r="E146" t="s">
        <v>95</v>
      </c>
      <c r="F146" t="s">
        <v>93</v>
      </c>
      <c r="G146">
        <v>1</v>
      </c>
      <c r="H146">
        <v>2E+20</v>
      </c>
      <c r="I146">
        <v>1</v>
      </c>
      <c r="J146">
        <v>1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1</v>
      </c>
      <c r="U146">
        <f>IF((ContinuousStatsTable[[#This Row],[RepsRequested]]&gt;1),ContinuousStatsTable[[#This Row],[HalfWidth]],ContinuousStatsTable[[#This Row],[BatchMeansHalfWidth]])</f>
        <v>0</v>
      </c>
    </row>
    <row r="147" spans="1:21" x14ac:dyDescent="0.3">
      <c r="A147" t="s">
        <v>66</v>
      </c>
      <c r="B147" t="s">
        <v>68</v>
      </c>
      <c r="C147">
        <v>9</v>
      </c>
      <c r="D147" t="s">
        <v>98</v>
      </c>
      <c r="E147" t="s">
        <v>99</v>
      </c>
      <c r="F147" t="s">
        <v>82</v>
      </c>
      <c r="G147">
        <v>0</v>
      </c>
      <c r="H147">
        <v>2E+20</v>
      </c>
      <c r="I147">
        <v>0</v>
      </c>
      <c r="J147">
        <v>1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3">
      <c r="A148" t="s">
        <v>66</v>
      </c>
      <c r="B148" t="s">
        <v>68</v>
      </c>
      <c r="C148">
        <v>9</v>
      </c>
      <c r="D148" t="s">
        <v>69</v>
      </c>
      <c r="E148" t="s">
        <v>100</v>
      </c>
      <c r="F148" t="s">
        <v>71</v>
      </c>
      <c r="G148">
        <v>0.21943646616102799</v>
      </c>
      <c r="H148">
        <v>2E+20</v>
      </c>
      <c r="I148">
        <v>0</v>
      </c>
      <c r="J148">
        <v>2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0.112285312750481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1.1577111225029799</v>
      </c>
      <c r="U148">
        <f>IF((ContinuousStatsTable[[#This Row],[RepsRequested]]&gt;1),ContinuousStatsTable[[#This Row],[HalfWidth]],ContinuousStatsTable[[#This Row],[BatchMeansHalfWidth]])</f>
        <v>0.21814478487117156</v>
      </c>
    </row>
    <row r="149" spans="1:21" x14ac:dyDescent="0.3">
      <c r="A149" t="s">
        <v>66</v>
      </c>
      <c r="B149" t="s">
        <v>68</v>
      </c>
      <c r="C149">
        <v>9</v>
      </c>
      <c r="D149" t="s">
        <v>72</v>
      </c>
      <c r="E149" t="s">
        <v>100</v>
      </c>
      <c r="F149" t="s">
        <v>71</v>
      </c>
      <c r="G149">
        <v>0.53547842650704602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0.14331492780305599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1.4544545357388801</v>
      </c>
      <c r="U149">
        <f>IF((ContinuousStatsTable[[#This Row],[RepsRequested]]&gt;1),ContinuousStatsTable[[#This Row],[HalfWidth]],ContinuousStatsTable[[#This Row],[BatchMeansHalfWidth]])</f>
        <v>0.28551832117895298</v>
      </c>
    </row>
    <row r="150" spans="1:21" x14ac:dyDescent="0.3">
      <c r="A150" t="s">
        <v>66</v>
      </c>
      <c r="B150" t="s">
        <v>68</v>
      </c>
      <c r="C150">
        <v>9</v>
      </c>
      <c r="D150" t="s">
        <v>73</v>
      </c>
      <c r="E150" t="s">
        <v>100</v>
      </c>
      <c r="F150" t="s">
        <v>71</v>
      </c>
      <c r="G150">
        <v>0.89908198964358599</v>
      </c>
      <c r="H150">
        <v>2E+20</v>
      </c>
      <c r="I150">
        <v>0</v>
      </c>
      <c r="J150">
        <v>3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0.21331563144656099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1.22637838136578</v>
      </c>
      <c r="U150">
        <f>IF((ContinuousStatsTable[[#This Row],[RepsRequested]]&gt;1),ContinuousStatsTable[[#This Row],[HalfWidth]],ContinuousStatsTable[[#This Row],[BatchMeansHalfWidth]])</f>
        <v>0.22870353772187338</v>
      </c>
    </row>
    <row r="151" spans="1:21" x14ac:dyDescent="0.3">
      <c r="A151" t="s">
        <v>66</v>
      </c>
      <c r="B151" t="s">
        <v>68</v>
      </c>
      <c r="C151">
        <v>9</v>
      </c>
      <c r="D151" t="s">
        <v>80</v>
      </c>
      <c r="E151" t="s">
        <v>99</v>
      </c>
      <c r="F151" t="s">
        <v>82</v>
      </c>
      <c r="G151">
        <v>1.2876315830873899</v>
      </c>
      <c r="H151">
        <v>2E+20</v>
      </c>
      <c r="I151">
        <v>0</v>
      </c>
      <c r="J151">
        <v>3</v>
      </c>
      <c r="K151">
        <v>2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0.73791054391385202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2.0648494861280899</v>
      </c>
      <c r="U151">
        <f>IF((ContinuousStatsTable[[#This Row],[RepsRequested]]&gt;1),ContinuousStatsTable[[#This Row],[HalfWidth]],ContinuousStatsTable[[#This Row],[BatchMeansHalfWidth]])</f>
        <v>0.28423495041220082</v>
      </c>
    </row>
    <row r="152" spans="1:21" x14ac:dyDescent="0.3">
      <c r="A152" t="s">
        <v>66</v>
      </c>
      <c r="B152" t="s">
        <v>68</v>
      </c>
      <c r="C152">
        <v>9</v>
      </c>
      <c r="D152" t="s">
        <v>88</v>
      </c>
      <c r="E152" t="s">
        <v>99</v>
      </c>
      <c r="F152" t="s">
        <v>82</v>
      </c>
      <c r="G152">
        <v>1.45182164122943</v>
      </c>
      <c r="H152">
        <v>2E+20</v>
      </c>
      <c r="I152">
        <v>0</v>
      </c>
      <c r="J152">
        <v>4</v>
      </c>
      <c r="K152">
        <v>1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1.2311050618933901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2.06949400203548</v>
      </c>
      <c r="U152">
        <f>IF((ContinuousStatsTable[[#This Row],[RepsRequested]]&gt;1),ContinuousStatsTable[[#This Row],[HalfWidth]],ContinuousStatsTable[[#This Row],[BatchMeansHalfWidth]])</f>
        <v>0.2005202009511077</v>
      </c>
    </row>
    <row r="153" spans="1:21" x14ac:dyDescent="0.3">
      <c r="A153" t="s">
        <v>66</v>
      </c>
      <c r="B153" t="s">
        <v>68</v>
      </c>
      <c r="C153">
        <v>9</v>
      </c>
      <c r="D153" t="s">
        <v>89</v>
      </c>
      <c r="E153" t="s">
        <v>99</v>
      </c>
      <c r="F153" t="s">
        <v>82</v>
      </c>
      <c r="G153">
        <v>0.786339643385641</v>
      </c>
      <c r="H153">
        <v>2E+20</v>
      </c>
      <c r="I153">
        <v>0</v>
      </c>
      <c r="J153">
        <v>3</v>
      </c>
      <c r="K153">
        <v>2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0.61363727304496296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1.6623255879926</v>
      </c>
      <c r="U153">
        <f>IF((ContinuousStatsTable[[#This Row],[RepsRequested]]&gt;1),ContinuousStatsTable[[#This Row],[HalfWidth]],ContinuousStatsTable[[#This Row],[BatchMeansHalfWidth]])</f>
        <v>0.25768116607482183</v>
      </c>
    </row>
    <row r="154" spans="1:21" x14ac:dyDescent="0.3">
      <c r="A154" t="s">
        <v>66</v>
      </c>
      <c r="B154" t="s">
        <v>68</v>
      </c>
      <c r="C154">
        <v>9</v>
      </c>
      <c r="D154" t="s">
        <v>90</v>
      </c>
      <c r="E154" t="s">
        <v>99</v>
      </c>
      <c r="F154" t="s">
        <v>82</v>
      </c>
      <c r="G154">
        <v>1.4524590556019901</v>
      </c>
      <c r="H154">
        <v>2E+20</v>
      </c>
      <c r="I154">
        <v>0</v>
      </c>
      <c r="J154">
        <v>3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0.82142168923556802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1.71735388547157</v>
      </c>
      <c r="U154">
        <f>IF((ContinuousStatsTable[[#This Row],[RepsRequested]]&gt;1),ContinuousStatsTable[[#This Row],[HalfWidth]],ContinuousStatsTable[[#This Row],[BatchMeansHalfWidth]])</f>
        <v>0.21990226582093259</v>
      </c>
    </row>
    <row r="155" spans="1:21" x14ac:dyDescent="0.3">
      <c r="A155" t="s">
        <v>66</v>
      </c>
      <c r="B155" t="s">
        <v>68</v>
      </c>
      <c r="C155">
        <v>10</v>
      </c>
      <c r="D155" t="s">
        <v>91</v>
      </c>
      <c r="E155" t="s">
        <v>92</v>
      </c>
      <c r="F155" t="s">
        <v>93</v>
      </c>
      <c r="G155">
        <v>0.85032998386021097</v>
      </c>
      <c r="H155">
        <v>2E+20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0.70923148168898098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0.92513911074198196</v>
      </c>
      <c r="U155">
        <f>IF((ContinuousStatsTable[[#This Row],[RepsRequested]]&gt;1),ContinuousStatsTable[[#This Row],[HalfWidth]],ContinuousStatsTable[[#This Row],[BatchMeansHalfWidth]])</f>
        <v>4.617487688207024E-2</v>
      </c>
    </row>
    <row r="156" spans="1:21" x14ac:dyDescent="0.3">
      <c r="A156" t="s">
        <v>66</v>
      </c>
      <c r="B156" t="s">
        <v>68</v>
      </c>
      <c r="C156">
        <v>10</v>
      </c>
      <c r="D156" t="s">
        <v>91</v>
      </c>
      <c r="E156" t="s">
        <v>94</v>
      </c>
      <c r="F156" t="s">
        <v>93</v>
      </c>
      <c r="G156">
        <v>0.85032998386021097</v>
      </c>
      <c r="H156">
        <v>2E+20</v>
      </c>
      <c r="I156">
        <v>0</v>
      </c>
      <c r="J156">
        <v>1</v>
      </c>
      <c r="K156">
        <v>1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0.83106107177752264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6.4548027001173278E-2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4.617487688207024E-2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0.70923148168898098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0.92513911074198196</v>
      </c>
      <c r="U156">
        <f>IF((ContinuousStatsTable[[#This Row],[RepsRequested]]&gt;1),ContinuousStatsTable[[#This Row],[HalfWidth]],ContinuousStatsTable[[#This Row],[BatchMeansHalfWidth]])</f>
        <v>4.617487688207024E-2</v>
      </c>
    </row>
    <row r="157" spans="1:21" x14ac:dyDescent="0.3">
      <c r="A157" t="s">
        <v>66</v>
      </c>
      <c r="B157" t="s">
        <v>68</v>
      </c>
      <c r="C157">
        <v>10</v>
      </c>
      <c r="D157" t="s">
        <v>91</v>
      </c>
      <c r="E157" t="s">
        <v>95</v>
      </c>
      <c r="F157" t="s">
        <v>93</v>
      </c>
      <c r="G157">
        <v>1</v>
      </c>
      <c r="H157">
        <v>2E+20</v>
      </c>
      <c r="I157">
        <v>1</v>
      </c>
      <c r="J157">
        <v>1</v>
      </c>
      <c r="K157">
        <v>1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1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3">
      <c r="A158" t="s">
        <v>66</v>
      </c>
      <c r="B158" t="s">
        <v>68</v>
      </c>
      <c r="C158">
        <v>10</v>
      </c>
      <c r="D158" t="s">
        <v>96</v>
      </c>
      <c r="E158" t="s">
        <v>92</v>
      </c>
      <c r="F158" t="s">
        <v>93</v>
      </c>
      <c r="G158">
        <v>0.71728584076343305</v>
      </c>
      <c r="H158">
        <v>2E+20</v>
      </c>
      <c r="I158">
        <v>0</v>
      </c>
      <c r="J158">
        <v>1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0.71728584076343305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0.91938608785018705</v>
      </c>
      <c r="U158">
        <f>IF((ContinuousStatsTable[[#This Row],[RepsRequested]]&gt;1),ContinuousStatsTable[[#This Row],[HalfWidth]],ContinuousStatsTable[[#This Row],[BatchMeansHalfWidth]])</f>
        <v>4.3798869913993184E-2</v>
      </c>
    </row>
    <row r="159" spans="1:21" x14ac:dyDescent="0.3">
      <c r="A159" t="s">
        <v>66</v>
      </c>
      <c r="B159" t="s">
        <v>68</v>
      </c>
      <c r="C159">
        <v>10</v>
      </c>
      <c r="D159" t="s">
        <v>96</v>
      </c>
      <c r="E159" t="s">
        <v>94</v>
      </c>
      <c r="F159" t="s">
        <v>93</v>
      </c>
      <c r="G159">
        <v>0.71728584076343305</v>
      </c>
      <c r="H159">
        <v>2E+20</v>
      </c>
      <c r="I159">
        <v>0</v>
      </c>
      <c r="J159">
        <v>1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0.84520971658291411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6.1226598287413884E-2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4.3798869913993184E-2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0.71728584076343305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0.91938608785018705</v>
      </c>
      <c r="U159">
        <f>IF((ContinuousStatsTable[[#This Row],[RepsRequested]]&gt;1),ContinuousStatsTable[[#This Row],[HalfWidth]],ContinuousStatsTable[[#This Row],[BatchMeansHalfWidth]])</f>
        <v>4.3798869913993184E-2</v>
      </c>
    </row>
    <row r="160" spans="1:21" x14ac:dyDescent="0.3">
      <c r="A160" t="s">
        <v>66</v>
      </c>
      <c r="B160" t="s">
        <v>68</v>
      </c>
      <c r="C160">
        <v>10</v>
      </c>
      <c r="D160" t="s">
        <v>96</v>
      </c>
      <c r="E160" t="s">
        <v>95</v>
      </c>
      <c r="F160" t="s">
        <v>93</v>
      </c>
      <c r="G160">
        <v>1</v>
      </c>
      <c r="H160">
        <v>2E+20</v>
      </c>
      <c r="I160">
        <v>1</v>
      </c>
      <c r="J160">
        <v>1</v>
      </c>
      <c r="K160">
        <v>1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1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1</v>
      </c>
      <c r="U160">
        <f>IF((ContinuousStatsTable[[#This Row],[RepsRequested]]&gt;1),ContinuousStatsTable[[#This Row],[HalfWidth]],ContinuousStatsTable[[#This Row],[BatchMeansHalfWidth]])</f>
        <v>0</v>
      </c>
    </row>
    <row r="161" spans="1:21" x14ac:dyDescent="0.3">
      <c r="A161" t="s">
        <v>66</v>
      </c>
      <c r="B161" t="s">
        <v>68</v>
      </c>
      <c r="C161">
        <v>10</v>
      </c>
      <c r="D161" t="s">
        <v>97</v>
      </c>
      <c r="E161" t="s">
        <v>92</v>
      </c>
      <c r="F161" t="s">
        <v>93</v>
      </c>
      <c r="G161">
        <v>0.89372434220669095</v>
      </c>
      <c r="H161">
        <v>2E+20</v>
      </c>
      <c r="I161">
        <v>0</v>
      </c>
      <c r="J161">
        <v>1</v>
      </c>
      <c r="K161">
        <v>1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0.69586636126078405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0.89372434220669095</v>
      </c>
      <c r="U161">
        <f>IF((ContinuousStatsTable[[#This Row],[RepsRequested]]&gt;1),ContinuousStatsTable[[#This Row],[HalfWidth]],ContinuousStatsTable[[#This Row],[BatchMeansHalfWidth]])</f>
        <v>4.8321681102076373E-2</v>
      </c>
    </row>
    <row r="162" spans="1:21" x14ac:dyDescent="0.3">
      <c r="A162" t="s">
        <v>66</v>
      </c>
      <c r="B162" t="s">
        <v>68</v>
      </c>
      <c r="C162">
        <v>10</v>
      </c>
      <c r="D162" t="s">
        <v>97</v>
      </c>
      <c r="E162" t="s">
        <v>94</v>
      </c>
      <c r="F162" t="s">
        <v>93</v>
      </c>
      <c r="G162">
        <v>0.89372434220669095</v>
      </c>
      <c r="H162">
        <v>2E+20</v>
      </c>
      <c r="I162">
        <v>0</v>
      </c>
      <c r="J162">
        <v>1</v>
      </c>
      <c r="K162">
        <v>1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0.77733493379426299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6.75490523663973E-2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4.8321681102076373E-2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0.69586636126078405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0.89372434220669095</v>
      </c>
      <c r="U162">
        <f>IF((ContinuousStatsTable[[#This Row],[RepsRequested]]&gt;1),ContinuousStatsTable[[#This Row],[HalfWidth]],ContinuousStatsTable[[#This Row],[BatchMeansHalfWidth]])</f>
        <v>4.8321681102076373E-2</v>
      </c>
    </row>
    <row r="163" spans="1:21" x14ac:dyDescent="0.3">
      <c r="A163" t="s">
        <v>66</v>
      </c>
      <c r="B163" t="s">
        <v>68</v>
      </c>
      <c r="C163">
        <v>10</v>
      </c>
      <c r="D163" t="s">
        <v>97</v>
      </c>
      <c r="E163" t="s">
        <v>95</v>
      </c>
      <c r="F163" t="s">
        <v>93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3">
      <c r="A164" t="s">
        <v>66</v>
      </c>
      <c r="B164" t="s">
        <v>68</v>
      </c>
      <c r="C164">
        <v>10</v>
      </c>
      <c r="D164" t="s">
        <v>98</v>
      </c>
      <c r="E164" t="s">
        <v>99</v>
      </c>
      <c r="F164" t="s">
        <v>82</v>
      </c>
      <c r="G164">
        <v>0</v>
      </c>
      <c r="H164">
        <v>2E+20</v>
      </c>
      <c r="I164">
        <v>0</v>
      </c>
      <c r="J164">
        <v>1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</v>
      </c>
      <c r="U164">
        <f>IF((ContinuousStatsTable[[#This Row],[RepsRequested]]&gt;1),ContinuousStatsTable[[#This Row],[HalfWidth]],ContinuousStatsTable[[#This Row],[BatchMeansHalfWidth]])</f>
        <v>0</v>
      </c>
    </row>
    <row r="165" spans="1:21" x14ac:dyDescent="0.3">
      <c r="A165" t="s">
        <v>66</v>
      </c>
      <c r="B165" t="s">
        <v>68</v>
      </c>
      <c r="C165">
        <v>10</v>
      </c>
      <c r="D165" t="s">
        <v>69</v>
      </c>
      <c r="E165" t="s">
        <v>100</v>
      </c>
      <c r="F165" t="s">
        <v>71</v>
      </c>
      <c r="G165">
        <v>0.60360058627180102</v>
      </c>
      <c r="H165">
        <v>2E+20</v>
      </c>
      <c r="I165">
        <v>0</v>
      </c>
      <c r="J165">
        <v>3</v>
      </c>
      <c r="K165">
        <v>0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0.43792308527159668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0.30494538187923392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0.21814478487117156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0.112285312750481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1.1577111225029799</v>
      </c>
      <c r="U165">
        <f>IF((ContinuousStatsTable[[#This Row],[RepsRequested]]&gt;1),ContinuousStatsTable[[#This Row],[HalfWidth]],ContinuousStatsTable[[#This Row],[BatchMeansHalfWidth]])</f>
        <v>0.21814478487117156</v>
      </c>
    </row>
    <row r="166" spans="1:21" x14ac:dyDescent="0.3">
      <c r="A166" t="s">
        <v>66</v>
      </c>
      <c r="B166" t="s">
        <v>68</v>
      </c>
      <c r="C166">
        <v>10</v>
      </c>
      <c r="D166" t="s">
        <v>72</v>
      </c>
      <c r="E166" t="s">
        <v>100</v>
      </c>
      <c r="F166" t="s">
        <v>71</v>
      </c>
      <c r="G166">
        <v>0.14331492780305599</v>
      </c>
      <c r="H166">
        <v>2E+20</v>
      </c>
      <c r="I166">
        <v>0</v>
      </c>
      <c r="J166">
        <v>2</v>
      </c>
      <c r="K166">
        <v>0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0.60393686699330529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0.39912709138039898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0.28551832117895298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0.14331492780305599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1.4544545357388801</v>
      </c>
      <c r="U166">
        <f>IF((ContinuousStatsTable[[#This Row],[RepsRequested]]&gt;1),ContinuousStatsTable[[#This Row],[HalfWidth]],ContinuousStatsTable[[#This Row],[BatchMeansHalfWidth]])</f>
        <v>0.28551832117895298</v>
      </c>
    </row>
    <row r="167" spans="1:21" x14ac:dyDescent="0.3">
      <c r="A167" t="s">
        <v>66</v>
      </c>
      <c r="B167" t="s">
        <v>68</v>
      </c>
      <c r="C167">
        <v>10</v>
      </c>
      <c r="D167" t="s">
        <v>73</v>
      </c>
      <c r="E167" t="s">
        <v>100</v>
      </c>
      <c r="F167" t="s">
        <v>71</v>
      </c>
      <c r="G167">
        <v>1.22637838136578</v>
      </c>
      <c r="H167">
        <v>2E+20</v>
      </c>
      <c r="I167">
        <v>0</v>
      </c>
      <c r="J167">
        <v>4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0.59306304553133327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0.31970550058721603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0.22870353772187338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0.21331563144656099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1.22637838136578</v>
      </c>
      <c r="U167">
        <f>IF((ContinuousStatsTable[[#This Row],[RepsRequested]]&gt;1),ContinuousStatsTable[[#This Row],[HalfWidth]],ContinuousStatsTable[[#This Row],[BatchMeansHalfWidth]])</f>
        <v>0.22870353772187338</v>
      </c>
    </row>
    <row r="168" spans="1:21" x14ac:dyDescent="0.3">
      <c r="A168" t="s">
        <v>66</v>
      </c>
      <c r="B168" t="s">
        <v>68</v>
      </c>
      <c r="C168">
        <v>10</v>
      </c>
      <c r="D168" t="s">
        <v>80</v>
      </c>
      <c r="E168" t="s">
        <v>99</v>
      </c>
      <c r="F168" t="s">
        <v>82</v>
      </c>
      <c r="G168">
        <v>2.0648494861280899</v>
      </c>
      <c r="H168">
        <v>2E+20</v>
      </c>
      <c r="I168">
        <v>0</v>
      </c>
      <c r="J168">
        <v>4</v>
      </c>
      <c r="K168">
        <v>2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1.1736984271872108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0.39733306275491065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0.28423495041220082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0.73791054391385202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2.0648494861280899</v>
      </c>
      <c r="U168">
        <f>IF((ContinuousStatsTable[[#This Row],[RepsRequested]]&gt;1),ContinuousStatsTable[[#This Row],[HalfWidth]],ContinuousStatsTable[[#This Row],[BatchMeansHalfWidth]])</f>
        <v>0.28423495041220082</v>
      </c>
    </row>
    <row r="169" spans="1:21" x14ac:dyDescent="0.3">
      <c r="A169" t="s">
        <v>66</v>
      </c>
      <c r="B169" t="s">
        <v>68</v>
      </c>
      <c r="C169">
        <v>10</v>
      </c>
      <c r="D169" t="s">
        <v>88</v>
      </c>
      <c r="E169" t="s">
        <v>99</v>
      </c>
      <c r="F169" t="s">
        <v>82</v>
      </c>
      <c r="G169">
        <v>1.36092334849256</v>
      </c>
      <c r="H169">
        <v>2E+20</v>
      </c>
      <c r="I169">
        <v>0</v>
      </c>
      <c r="J169">
        <v>4</v>
      </c>
      <c r="K169">
        <v>2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1.5182288080990141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0.28030791242452985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0.2005202009511077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1.2311050618933901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2.06949400203548</v>
      </c>
      <c r="U169">
        <f>IF((ContinuousStatsTable[[#This Row],[RepsRequested]]&gt;1),ContinuousStatsTable[[#This Row],[HalfWidth]],ContinuousStatsTable[[#This Row],[BatchMeansHalfWidth]])</f>
        <v>0.2005202009511077</v>
      </c>
    </row>
    <row r="170" spans="1:21" x14ac:dyDescent="0.3">
      <c r="A170" t="s">
        <v>66</v>
      </c>
      <c r="B170" t="s">
        <v>68</v>
      </c>
      <c r="C170">
        <v>10</v>
      </c>
      <c r="D170" t="s">
        <v>89</v>
      </c>
      <c r="E170" t="s">
        <v>99</v>
      </c>
      <c r="F170" t="s">
        <v>82</v>
      </c>
      <c r="G170">
        <v>0.61363727304496296</v>
      </c>
      <c r="H170">
        <v>2E+20</v>
      </c>
      <c r="I170">
        <v>0</v>
      </c>
      <c r="J170">
        <v>3</v>
      </c>
      <c r="K170">
        <v>0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1.0393073816242269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0.3602134318185905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0.25768116607482183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0.61363727304496296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1.6623255879926</v>
      </c>
      <c r="U170">
        <f>IF((ContinuousStatsTable[[#This Row],[RepsRequested]]&gt;1),ContinuousStatsTable[[#This Row],[HalfWidth]],ContinuousStatsTable[[#This Row],[BatchMeansHalfWidth]])</f>
        <v>0.25768116607482183</v>
      </c>
    </row>
    <row r="171" spans="1:21" x14ac:dyDescent="0.3">
      <c r="A171" t="s">
        <v>66</v>
      </c>
      <c r="B171" t="s">
        <v>68</v>
      </c>
      <c r="C171">
        <v>10</v>
      </c>
      <c r="D171" t="s">
        <v>90</v>
      </c>
      <c r="E171" t="s">
        <v>99</v>
      </c>
      <c r="F171" t="s">
        <v>82</v>
      </c>
      <c r="G171">
        <v>1.3186648114626101</v>
      </c>
      <c r="H171">
        <v>2E+20</v>
      </c>
      <c r="I171">
        <v>0</v>
      </c>
      <c r="J171">
        <v>3</v>
      </c>
      <c r="K171">
        <v>1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1.2706682975078056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0.30740217084022997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0.21990226582093259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0.82142168923556802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1.71735388547157</v>
      </c>
      <c r="U171">
        <f>IF((ContinuousStatsTable[[#This Row],[RepsRequested]]&gt;1),ContinuousStatsTable[[#This Row],[HalfWidth]],ContinuousStatsTable[[#This Row],[BatchMeansHalfWidth]])</f>
        <v>0.21990226582093259</v>
      </c>
    </row>
  </sheetData>
  <phoneticPr fontId="2" type="noConversion"/>
  <conditionalFormatting sqref="H2:H171">
    <cfRule type="expression" dxfId="18" priority="9">
      <formula>H2=200000000000000000000</formula>
    </cfRule>
  </conditionalFormatting>
  <conditionalFormatting sqref="H2:H171">
    <cfRule type="expression" dxfId="17" priority="7">
      <formula>H2=300000000000000000000</formula>
    </cfRule>
  </conditionalFormatting>
  <conditionalFormatting sqref="M2:U171">
    <cfRule type="expression" dxfId="16" priority="5">
      <formula>MOD(ROW(),2)=0</formula>
    </cfRule>
  </conditionalFormatting>
  <conditionalFormatting sqref="U2:U17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71 U2:U17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71"/>
  <sheetViews>
    <sheetView workbookViewId="0">
      <selection activeCell="H2" sqref="H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7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66.44140625" bestFit="1" customWidth="1"/>
    <col min="10" max="10" width="16.109375" bestFit="1" customWidth="1"/>
    <col min="11" max="11" width="12" customWidth="1"/>
    <col min="12" max="12" width="19" bestFit="1" customWidth="1"/>
    <col min="13" max="13" width="19.332031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101</v>
      </c>
      <c r="E2" t="s">
        <v>102</v>
      </c>
      <c r="F2" t="s">
        <v>93</v>
      </c>
      <c r="G2">
        <v>32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 A.NumberSeizedTotal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35</v>
      </c>
      <c r="L2" cm="1">
        <f t="array" ref="L2">IFERROR(_xlfn.STDEV.S(IF((OutputTable[GroupByKey]=OutputTable[[#This Row],[GroupByKey]]),(OutputTable[GroupByKey]=OutputTable[[#This Row],[GroupByKey]])*OutputTable[RecordedValue])),0)</f>
        <v>1.7638342073763937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2" cm="1">
        <f t="array" ref="O2">MIN(IF((OutputTable[GroupByKey]=OutputTable[[#This Row],[GroupByKey]]),(OutputTable[GroupByKey]=OutputTable[[#This Row],[GroupByKey]])*OutputTable[RecordedValue]))</f>
        <v>32</v>
      </c>
      <c r="P2" cm="1">
        <f t="array" ref="P2">MAX(IF((OutputTable[GroupByKey]=OutputTable[[#This Row],[GroupByKey]]),(OutputTable[GroupByKey]=OutputTable[[#This Row],[GroupByKey]])*OutputTable[RecordedValue]))</f>
        <v>37</v>
      </c>
    </row>
    <row r="3" spans="1:16" x14ac:dyDescent="0.3">
      <c r="A3" t="s">
        <v>66</v>
      </c>
      <c r="B3" t="s">
        <v>68</v>
      </c>
      <c r="C3">
        <v>1</v>
      </c>
      <c r="D3" t="s">
        <v>103</v>
      </c>
      <c r="E3" t="s">
        <v>104</v>
      </c>
      <c r="F3" t="s">
        <v>93</v>
      </c>
      <c r="G3">
        <v>0.80135542616927102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0.83106107177752264</v>
      </c>
      <c r="L3" cm="1">
        <f t="array" ref="L3">IFERROR(_xlfn.STDEV.S(IF((OutputTable[GroupByKey]=OutputTable[[#This Row],[GroupByKey]]),(OutputTable[GroupByKey]=OutputTable[[#This Row],[GroupByKey]])*OutputTable[RecordedValue])),0)</f>
        <v>6.4548027001173278E-2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3" cm="1">
        <f t="array" ref="O3">MIN(IF((OutputTable[GroupByKey]=OutputTable[[#This Row],[GroupByKey]]),(OutputTable[GroupByKey]=OutputTable[[#This Row],[GroupByKey]])*OutputTable[RecordedValue]))</f>
        <v>0.70923148168898098</v>
      </c>
      <c r="P3" cm="1">
        <f t="array" ref="P3">MAX(IF((OutputTable[GroupByKey]=OutputTable[[#This Row],[GroupByKey]]),(OutputTable[GroupByKey]=OutputTable[[#This Row],[GroupByKey]])*OutputTable[RecordedValue]))</f>
        <v>0.92513911074198196</v>
      </c>
    </row>
    <row r="4" spans="1:16" x14ac:dyDescent="0.3">
      <c r="A4" t="s">
        <v>66</v>
      </c>
      <c r="B4" t="s">
        <v>68</v>
      </c>
      <c r="C4">
        <v>1</v>
      </c>
      <c r="D4" t="s">
        <v>105</v>
      </c>
      <c r="E4" t="s">
        <v>102</v>
      </c>
      <c r="F4" t="s">
        <v>93</v>
      </c>
      <c r="G4">
        <v>34</v>
      </c>
      <c r="H4">
        <v>0</v>
      </c>
      <c r="I4" t="str">
        <f>OutputTable[[#This Row],[ProjectName]]&amp;OutputTable[[#This Row],[Name]]&amp;OutputTable[[#This Row],[Type]]&amp;OutputTable[[#This Row],[Source]]</f>
        <v>Unnamed ProjectMachine B.NumberSeizedTotal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33.4</v>
      </c>
      <c r="L4" cm="1">
        <f t="array" ref="L4">IFERROR(_xlfn.STDEV.S(IF((OutputTable[GroupByKey]=OutputTable[[#This Row],[GroupByKey]]),(OutputTable[GroupByKey]=OutputTable[[#This Row],[GroupByKey]])*OutputTable[RecordedValue])),0)</f>
        <v>2.5905812303633931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4" cm="1">
        <f t="array" ref="O4">MIN(IF((OutputTable[GroupByKey]=OutputTable[[#This Row],[GroupByKey]]),(OutputTable[GroupByKey]=OutputTable[[#This Row],[GroupByKey]])*OutputTable[RecordedValue]))</f>
        <v>29</v>
      </c>
      <c r="P4" cm="1">
        <f t="array" ref="P4">MAX(IF((OutputTable[GroupByKey]=OutputTable[[#This Row],[GroupByKey]]),(OutputTable[GroupByKey]=OutputTable[[#This Row],[GroupByKey]])*OutputTable[RecordedValue]))</f>
        <v>37</v>
      </c>
    </row>
    <row r="5" spans="1:16" x14ac:dyDescent="0.3">
      <c r="A5" t="s">
        <v>66</v>
      </c>
      <c r="B5" t="s">
        <v>68</v>
      </c>
      <c r="C5">
        <v>1</v>
      </c>
      <c r="D5" t="s">
        <v>106</v>
      </c>
      <c r="E5" t="s">
        <v>104</v>
      </c>
      <c r="F5" t="s">
        <v>93</v>
      </c>
      <c r="G5">
        <v>0.902007440428508</v>
      </c>
      <c r="H5">
        <v>0</v>
      </c>
      <c r="I5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0.84520971658291411</v>
      </c>
      <c r="L5" cm="1">
        <f t="array" ref="L5">IFERROR(_xlfn.STDEV.S(IF((OutputTable[GroupByKey]=OutputTable[[#This Row],[GroupByKey]]),(OutputTable[GroupByKey]=OutputTable[[#This Row],[GroupByKey]])*OutputTable[RecordedValue])),0)</f>
        <v>6.1226598287413884E-2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5" cm="1">
        <f t="array" ref="O5">MIN(IF((OutputTable[GroupByKey]=OutputTable[[#This Row],[GroupByKey]]),(OutputTable[GroupByKey]=OutputTable[[#This Row],[GroupByKey]])*OutputTable[RecordedValue]))</f>
        <v>0.71728584076343305</v>
      </c>
      <c r="P5" cm="1">
        <f t="array" ref="P5">MAX(IF((OutputTable[GroupByKey]=OutputTable[[#This Row],[GroupByKey]]),(OutputTable[GroupByKey]=OutputTable[[#This Row],[GroupByKey]])*OutputTable[RecordedValue]))</f>
        <v>0.91938608785018705</v>
      </c>
    </row>
    <row r="6" spans="1:16" x14ac:dyDescent="0.3">
      <c r="A6" t="s">
        <v>66</v>
      </c>
      <c r="B6" t="s">
        <v>68</v>
      </c>
      <c r="C6">
        <v>1</v>
      </c>
      <c r="D6" t="s">
        <v>107</v>
      </c>
      <c r="E6" t="s">
        <v>102</v>
      </c>
      <c r="F6" t="s">
        <v>93</v>
      </c>
      <c r="G6">
        <v>35</v>
      </c>
      <c r="H6">
        <v>0</v>
      </c>
      <c r="I6" t="str">
        <f>OutputTable[[#This Row],[ProjectName]]&amp;OutputTable[[#This Row],[Name]]&amp;OutputTable[[#This Row],[Type]]&amp;OutputTable[[#This Row],[Source]]</f>
        <v>Unnamed ProjectMachine C.NumberSeizedTotal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32.6</v>
      </c>
      <c r="L6" cm="1">
        <f t="array" ref="L6">IFERROR(_xlfn.STDEV.S(IF((OutputTable[GroupByKey]=OutputTable[[#This Row],[GroupByKey]]),(OutputTable[GroupByKey]=OutputTable[[#This Row],[GroupByKey]])*OutputTable[RecordedValue])),0)</f>
        <v>2.5473297566057069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6" cm="1">
        <f t="array" ref="O6">MIN(IF((OutputTable[GroupByKey]=OutputTable[[#This Row],[GroupByKey]]),(OutputTable[GroupByKey]=OutputTable[[#This Row],[GroupByKey]])*OutputTable[RecordedValue]))</f>
        <v>29</v>
      </c>
      <c r="P6" cm="1">
        <f t="array" ref="P6">MAX(IF((OutputTable[GroupByKey]=OutputTable[[#This Row],[GroupByKey]]),(OutputTable[GroupByKey]=OutputTable[[#This Row],[GroupByKey]])*OutputTable[RecordedValue]))</f>
        <v>37</v>
      </c>
    </row>
    <row r="7" spans="1:16" x14ac:dyDescent="0.3">
      <c r="A7" t="s">
        <v>66</v>
      </c>
      <c r="B7" t="s">
        <v>68</v>
      </c>
      <c r="C7">
        <v>1</v>
      </c>
      <c r="D7" t="s">
        <v>108</v>
      </c>
      <c r="E7" t="s">
        <v>104</v>
      </c>
      <c r="F7" t="s">
        <v>93</v>
      </c>
      <c r="G7">
        <v>0.82487352272256997</v>
      </c>
      <c r="H7">
        <v>0</v>
      </c>
      <c r="I7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0.77733493379426299</v>
      </c>
      <c r="L7" cm="1">
        <f t="array" ref="L7">IFERROR(_xlfn.STDEV.S(IF((OutputTable[GroupByKey]=OutputTable[[#This Row],[GroupByKey]]),(OutputTable[GroupByKey]=OutputTable[[#This Row],[GroupByKey]])*OutputTable[RecordedValue])),0)</f>
        <v>6.75490523663973E-2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7" cm="1">
        <f t="array" ref="O7">MIN(IF((OutputTable[GroupByKey]=OutputTable[[#This Row],[GroupByKey]]),(OutputTable[GroupByKey]=OutputTable[[#This Row],[GroupByKey]])*OutputTable[RecordedValue]))</f>
        <v>0.69586636126078405</v>
      </c>
      <c r="P7" cm="1">
        <f t="array" ref="P7">MAX(IF((OutputTable[GroupByKey]=OutputTable[[#This Row],[GroupByKey]]),(OutputTable[GroupByKey]=OutputTable[[#This Row],[GroupByKey]])*OutputTable[RecordedValue]))</f>
        <v>0.89372434220669095</v>
      </c>
    </row>
    <row r="8" spans="1:16" x14ac:dyDescent="0.3">
      <c r="A8" t="s">
        <v>66</v>
      </c>
      <c r="B8" t="s">
        <v>68</v>
      </c>
      <c r="C8">
        <v>1</v>
      </c>
      <c r="D8" t="s">
        <v>109</v>
      </c>
      <c r="E8" t="s">
        <v>110</v>
      </c>
      <c r="F8" t="s">
        <v>82</v>
      </c>
      <c r="G8">
        <v>49</v>
      </c>
      <c r="H8">
        <v>0</v>
      </c>
      <c r="I8" t="str">
        <f>OutputTable[[#This Row],[ProjectName]]&amp;OutputTable[[#This Row],[Name]]&amp;OutputTable[[#This Row],[Type]]&amp;OutputTable[[#This Row],[Source]]</f>
        <v>Unnamed ProjectPiece.NumberInNumber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49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 cm="1">
        <f t="array" ref="O8">MIN(IF((OutputTable[GroupByKey]=OutputTable[[#This Row],[GroupByKey]]),(OutputTable[GroupByKey]=OutputTable[[#This Row],[GroupByKey]])*OutputTable[RecordedValue]))</f>
        <v>49</v>
      </c>
      <c r="P8" cm="1">
        <f t="array" ref="P8">MAX(IF((OutputTable[GroupByKey]=OutputTable[[#This Row],[GroupByKey]]),(OutputTable[GroupByKey]=OutputTable[[#This Row],[GroupByKey]])*OutputTable[RecordedValue]))</f>
        <v>49</v>
      </c>
    </row>
    <row r="9" spans="1:16" x14ac:dyDescent="0.3">
      <c r="A9" t="s">
        <v>66</v>
      </c>
      <c r="B9" t="s">
        <v>68</v>
      </c>
      <c r="C9">
        <v>1</v>
      </c>
      <c r="D9" t="s">
        <v>111</v>
      </c>
      <c r="E9" t="s">
        <v>112</v>
      </c>
      <c r="F9" t="s">
        <v>82</v>
      </c>
      <c r="G9">
        <v>49</v>
      </c>
      <c r="H9">
        <v>0</v>
      </c>
      <c r="I9" t="str">
        <f>OutputTable[[#This Row],[ProjectName]]&amp;OutputTable[[#This Row],[Name]]&amp;OutputTable[[#This Row],[Type]]&amp;OutputTable[[#This Row],[Source]]</f>
        <v>Unnamed ProjectPiece.NumberOutNumber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49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" cm="1">
        <f t="array" ref="O9">MIN(IF((OutputTable[GroupByKey]=OutputTable[[#This Row],[GroupByKey]]),(OutputTable[GroupByKey]=OutputTable[[#This Row],[GroupByKey]])*OutputTable[RecordedValue]))</f>
        <v>49</v>
      </c>
      <c r="P9" cm="1">
        <f t="array" ref="P9">MAX(IF((OutputTable[GroupByKey]=OutputTable[[#This Row],[GroupByKey]]),(OutputTable[GroupByKey]=OutputTable[[#This Row],[GroupByKey]])*OutputTable[RecordedValue]))</f>
        <v>49</v>
      </c>
    </row>
    <row r="10" spans="1:16" x14ac:dyDescent="0.3">
      <c r="A10" t="s">
        <v>66</v>
      </c>
      <c r="B10" t="s">
        <v>68</v>
      </c>
      <c r="C10">
        <v>1</v>
      </c>
      <c r="D10" t="s">
        <v>113</v>
      </c>
      <c r="E10" t="s">
        <v>112</v>
      </c>
      <c r="F10" t="s">
        <v>114</v>
      </c>
      <c r="G10">
        <v>42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42.6</v>
      </c>
      <c r="L10" cm="1">
        <f t="array" ref="L10">IFERROR(_xlfn.STDEV.S(IF((OutputTable[GroupByKey]=OutputTable[[#This Row],[GroupByKey]]),(OutputTable[GroupByKey]=OutputTable[[#This Row],[GroupByKey]])*OutputTable[RecordedValue])),0)</f>
        <v>1.0749676997731399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10" cm="1">
        <f t="array" ref="O10">MIN(IF((OutputTable[GroupByKey]=OutputTable[[#This Row],[GroupByKey]]),(OutputTable[GroupByKey]=OutputTable[[#This Row],[GroupByKey]])*OutputTable[RecordedValue]))</f>
        <v>41</v>
      </c>
      <c r="P10" cm="1">
        <f t="array" ref="P10">MAX(IF((OutputTable[GroupByKey]=OutputTable[[#This Row],[GroupByKey]]),(OutputTable[GroupByKey]=OutputTable[[#This Row],[GroupByKey]])*OutputTable[RecordedValue]))</f>
        <v>44</v>
      </c>
    </row>
    <row r="11" spans="1:16" x14ac:dyDescent="0.3">
      <c r="A11" t="s">
        <v>66</v>
      </c>
      <c r="B11" t="s">
        <v>68</v>
      </c>
      <c r="C11">
        <v>1</v>
      </c>
      <c r="D11" t="s">
        <v>115</v>
      </c>
      <c r="E11" t="s">
        <v>110</v>
      </c>
      <c r="F11" t="s">
        <v>82</v>
      </c>
      <c r="G11">
        <v>10</v>
      </c>
      <c r="H11">
        <v>0</v>
      </c>
      <c r="I11" t="str">
        <f>OutputTable[[#This Row],[ProjectName]]&amp;OutputTable[[#This Row],[Name]]&amp;OutputTable[[#This Row],[Type]]&amp;OutputTable[[#This Row],[Source]]</f>
        <v>Unnamed ProjectType1.NumberInNumber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12.5</v>
      </c>
      <c r="L11" cm="1">
        <f t="array" ref="L11">IFERROR(_xlfn.STDEV.S(IF((OutputTable[GroupByKey]=OutputTable[[#This Row],[GroupByKey]]),(OutputTable[GroupByKey]=OutputTable[[#This Row],[GroupByKey]])*OutputTable[RecordedValue])),0)</f>
        <v>2.9154759474226504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11" cm="1">
        <f t="array" ref="O11">MIN(IF((OutputTable[GroupByKey]=OutputTable[[#This Row],[GroupByKey]]),(OutputTable[GroupByKey]=OutputTable[[#This Row],[GroupByKey]])*OutputTable[RecordedValue]))</f>
        <v>9</v>
      </c>
      <c r="P11" cm="1">
        <f t="array" ref="P11">MAX(IF((OutputTable[GroupByKey]=OutputTable[[#This Row],[GroupByKey]]),(OutputTable[GroupByKey]=OutputTable[[#This Row],[GroupByKey]])*OutputTable[RecordedValue]))</f>
        <v>18</v>
      </c>
    </row>
    <row r="12" spans="1:16" x14ac:dyDescent="0.3">
      <c r="A12" t="s">
        <v>66</v>
      </c>
      <c r="B12" t="s">
        <v>68</v>
      </c>
      <c r="C12">
        <v>1</v>
      </c>
      <c r="D12" t="s">
        <v>116</v>
      </c>
      <c r="E12" t="s">
        <v>112</v>
      </c>
      <c r="F12" t="s">
        <v>82</v>
      </c>
      <c r="G12">
        <v>10</v>
      </c>
      <c r="H12">
        <v>0</v>
      </c>
      <c r="I12" t="str">
        <f>OutputTable[[#This Row],[ProjectName]]&amp;OutputTable[[#This Row],[Name]]&amp;OutputTable[[#This Row],[Type]]&amp;OutputTable[[#This Row],[Source]]</f>
        <v>Unnamed ProjectType1.NumberOutNumber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11.1</v>
      </c>
      <c r="L12" cm="1">
        <f t="array" ref="L12">IFERROR(_xlfn.STDEV.S(IF((OutputTable[GroupByKey]=OutputTable[[#This Row],[GroupByKey]]),(OutputTable[GroupByKey]=OutputTable[[#This Row],[GroupByKey]])*OutputTable[RecordedValue])),0)</f>
        <v>2.6436506745197819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12" cm="1">
        <f t="array" ref="O12">MIN(IF((OutputTable[GroupByKey]=OutputTable[[#This Row],[GroupByKey]]),(OutputTable[GroupByKey]=OutputTable[[#This Row],[GroupByKey]])*OutputTable[RecordedValue]))</f>
        <v>8</v>
      </c>
      <c r="P12" cm="1">
        <f t="array" ref="P12">MAX(IF((OutputTable[GroupByKey]=OutputTable[[#This Row],[GroupByKey]]),(OutputTable[GroupByKey]=OutputTable[[#This Row],[GroupByKey]])*OutputTable[RecordedValue]))</f>
        <v>16</v>
      </c>
    </row>
    <row r="13" spans="1:16" x14ac:dyDescent="0.3">
      <c r="A13" t="s">
        <v>66</v>
      </c>
      <c r="B13" t="s">
        <v>68</v>
      </c>
      <c r="C13">
        <v>1</v>
      </c>
      <c r="D13" t="s">
        <v>117</v>
      </c>
      <c r="E13" t="s">
        <v>110</v>
      </c>
      <c r="F13" t="s">
        <v>82</v>
      </c>
      <c r="G13">
        <v>13</v>
      </c>
      <c r="H13">
        <v>0</v>
      </c>
      <c r="I13" t="str">
        <f>OutputTable[[#This Row],[ProjectName]]&amp;OutputTable[[#This Row],[Name]]&amp;OutputTable[[#This Row],[Type]]&amp;OutputTable[[#This Row],[Source]]</f>
        <v>Unnamed ProjectType2.NumberInNumber InEntity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11.3</v>
      </c>
      <c r="L13" cm="1">
        <f t="array" ref="L13">IFERROR(_xlfn.STDEV.S(IF((OutputTable[GroupByKey]=OutputTable[[#This Row],[GroupByKey]]),(OutputTable[GroupByKey]=OutputTable[[#This Row],[GroupByKey]])*OutputTable[RecordedValue])),0)</f>
        <v>1.7029386365926371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13" cm="1">
        <f t="array" ref="O13">MIN(IF((OutputTable[GroupByKey]=OutputTable[[#This Row],[GroupByKey]]),(OutputTable[GroupByKey]=OutputTable[[#This Row],[GroupByKey]])*OutputTable[RecordedValue]))</f>
        <v>9</v>
      </c>
      <c r="P13" cm="1">
        <f t="array" ref="P13">MAX(IF((OutputTable[GroupByKey]=OutputTable[[#This Row],[GroupByKey]]),(OutputTable[GroupByKey]=OutputTable[[#This Row],[GroupByKey]])*OutputTable[RecordedValue]))</f>
        <v>14</v>
      </c>
    </row>
    <row r="14" spans="1:16" x14ac:dyDescent="0.3">
      <c r="A14" t="s">
        <v>66</v>
      </c>
      <c r="B14" t="s">
        <v>68</v>
      </c>
      <c r="C14">
        <v>1</v>
      </c>
      <c r="D14" t="s">
        <v>118</v>
      </c>
      <c r="E14" t="s">
        <v>112</v>
      </c>
      <c r="F14" t="s">
        <v>82</v>
      </c>
      <c r="G14">
        <v>12</v>
      </c>
      <c r="H14">
        <v>0</v>
      </c>
      <c r="I14" t="str">
        <f>OutputTable[[#This Row],[ProjectName]]&amp;OutputTable[[#This Row],[Name]]&amp;OutputTable[[#This Row],[Type]]&amp;OutputTable[[#This Row],[Source]]</f>
        <v>Unnamed ProjectType2.NumberOutNumber OutEntity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9.1</v>
      </c>
      <c r="L14" cm="1">
        <f t="array" ref="L14">IFERROR(_xlfn.STDEV.S(IF((OutputTable[GroupByKey]=OutputTable[[#This Row],[GroupByKey]]),(OutputTable[GroupByKey]=OutputTable[[#This Row],[GroupByKey]])*OutputTable[RecordedValue])),0)</f>
        <v>1.3703203194062967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14" cm="1">
        <f t="array" ref="O14">MIN(IF((OutputTable[GroupByKey]=OutputTable[[#This Row],[GroupByKey]]),(OutputTable[GroupByKey]=OutputTable[[#This Row],[GroupByKey]])*OutputTable[RecordedValue]))</f>
        <v>7</v>
      </c>
      <c r="P14" cm="1">
        <f t="array" ref="P14">MAX(IF((OutputTable[GroupByKey]=OutputTable[[#This Row],[GroupByKey]]),(OutputTable[GroupByKey]=OutputTable[[#This Row],[GroupByKey]])*OutputTable[RecordedValue]))</f>
        <v>12</v>
      </c>
    </row>
    <row r="15" spans="1:16" x14ac:dyDescent="0.3">
      <c r="A15" t="s">
        <v>66</v>
      </c>
      <c r="B15" t="s">
        <v>68</v>
      </c>
      <c r="C15">
        <v>1</v>
      </c>
      <c r="D15" t="s">
        <v>119</v>
      </c>
      <c r="E15" t="s">
        <v>110</v>
      </c>
      <c r="F15" t="s">
        <v>82</v>
      </c>
      <c r="G15">
        <v>10</v>
      </c>
      <c r="H15">
        <v>0</v>
      </c>
      <c r="I15" t="str">
        <f>OutputTable[[#This Row],[ProjectName]]&amp;OutputTable[[#This Row],[Name]]&amp;OutputTable[[#This Row],[Type]]&amp;OutputTable[[#This Row],[Source]]</f>
        <v>Unnamed ProjectType3.NumberInNumber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12.7</v>
      </c>
      <c r="L15" cm="1">
        <f t="array" ref="L15">IFERROR(_xlfn.STDEV.S(IF((OutputTable[GroupByKey]=OutputTable[[#This Row],[GroupByKey]]),(OutputTable[GroupByKey]=OutputTable[[#This Row],[GroupByKey]])*OutputTable[RecordedValue])),0)</f>
        <v>2.7507574714370326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15" cm="1">
        <f t="array" ref="O15">MIN(IF((OutputTable[GroupByKey]=OutputTable[[#This Row],[GroupByKey]]),(OutputTable[GroupByKey]=OutputTable[[#This Row],[GroupByKey]])*OutputTable[RecordedValue]))</f>
        <v>8</v>
      </c>
      <c r="P15" cm="1">
        <f t="array" ref="P15">MAX(IF((OutputTable[GroupByKey]=OutputTable[[#This Row],[GroupByKey]]),(OutputTable[GroupByKey]=OutputTable[[#This Row],[GroupByKey]])*OutputTable[RecordedValue]))</f>
        <v>17</v>
      </c>
    </row>
    <row r="16" spans="1:16" x14ac:dyDescent="0.3">
      <c r="A16" t="s">
        <v>66</v>
      </c>
      <c r="B16" t="s">
        <v>68</v>
      </c>
      <c r="C16">
        <v>1</v>
      </c>
      <c r="D16" t="s">
        <v>120</v>
      </c>
      <c r="E16" t="s">
        <v>112</v>
      </c>
      <c r="F16" t="s">
        <v>82</v>
      </c>
      <c r="G16">
        <v>8</v>
      </c>
      <c r="H16">
        <v>0</v>
      </c>
      <c r="I16" t="str">
        <f>OutputTable[[#This Row],[ProjectName]]&amp;OutputTable[[#This Row],[Name]]&amp;OutputTable[[#This Row],[Type]]&amp;OutputTable[[#This Row],[Source]]</f>
        <v>Unnamed ProjectType3.NumberOutNumber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11</v>
      </c>
      <c r="L16" cm="1">
        <f t="array" ref="L16">IFERROR(_xlfn.STDEV.S(IF((OutputTable[GroupByKey]=OutputTable[[#This Row],[GroupByKey]]),(OutputTable[GroupByKey]=OutputTable[[#This Row],[GroupByKey]])*OutputTable[RecordedValue])),0)</f>
        <v>2.1081851067789197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16" cm="1">
        <f t="array" ref="O16">MIN(IF((OutputTable[GroupByKey]=OutputTable[[#This Row],[GroupByKey]]),(OutputTable[GroupByKey]=OutputTable[[#This Row],[GroupByKey]])*OutputTable[RecordedValue]))</f>
        <v>8</v>
      </c>
      <c r="P16" cm="1">
        <f t="array" ref="P16">MAX(IF((OutputTable[GroupByKey]=OutputTable[[#This Row],[GroupByKey]]),(OutputTable[GroupByKey]=OutputTable[[#This Row],[GroupByKey]])*OutputTable[RecordedValue]))</f>
        <v>14</v>
      </c>
    </row>
    <row r="17" spans="1:16" x14ac:dyDescent="0.3">
      <c r="A17" t="s">
        <v>66</v>
      </c>
      <c r="B17" t="s">
        <v>68</v>
      </c>
      <c r="C17">
        <v>1</v>
      </c>
      <c r="D17" t="s">
        <v>121</v>
      </c>
      <c r="E17" t="s">
        <v>110</v>
      </c>
      <c r="F17" t="s">
        <v>82</v>
      </c>
      <c r="G17">
        <v>16</v>
      </c>
      <c r="H17">
        <v>0</v>
      </c>
      <c r="I17" t="str">
        <f>OutputTable[[#This Row],[ProjectName]]&amp;OutputTable[[#This Row],[Name]]&amp;OutputTable[[#This Row],[Type]]&amp;OutputTable[[#This Row],[Source]]</f>
        <v>Unnamed ProjectType4.NumberInNumber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12.5</v>
      </c>
      <c r="L17" cm="1">
        <f t="array" ref="L17">IFERROR(_xlfn.STDEV.S(IF((OutputTable[GroupByKey]=OutputTable[[#This Row],[GroupByKey]]),(OutputTable[GroupByKey]=OutputTable[[#This Row],[GroupByKey]])*OutputTable[RecordedValue])),0)</f>
        <v>2.2730302828309759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17" cm="1">
        <f t="array" ref="O17">MIN(IF((OutputTable[GroupByKey]=OutputTable[[#This Row],[GroupByKey]]),(OutputTable[GroupByKey]=OutputTable[[#This Row],[GroupByKey]])*OutputTable[RecordedValue]))</f>
        <v>9</v>
      </c>
      <c r="P17" cm="1">
        <f t="array" ref="P17">MAX(IF((OutputTable[GroupByKey]=OutputTable[[#This Row],[GroupByKey]]),(OutputTable[GroupByKey]=OutputTable[[#This Row],[GroupByKey]])*OutputTable[RecordedValue]))</f>
        <v>16</v>
      </c>
    </row>
    <row r="18" spans="1:16" x14ac:dyDescent="0.3">
      <c r="A18" t="s">
        <v>66</v>
      </c>
      <c r="B18" t="s">
        <v>68</v>
      </c>
      <c r="C18">
        <v>1</v>
      </c>
      <c r="D18" t="s">
        <v>122</v>
      </c>
      <c r="E18" t="s">
        <v>112</v>
      </c>
      <c r="F18" t="s">
        <v>82</v>
      </c>
      <c r="G18">
        <v>12</v>
      </c>
      <c r="H18">
        <v>0</v>
      </c>
      <c r="I18" t="str">
        <f>OutputTable[[#This Row],[ProjectName]]&amp;OutputTable[[#This Row],[Name]]&amp;OutputTable[[#This Row],[Type]]&amp;OutputTable[[#This Row],[Source]]</f>
        <v>Unnamed ProjectType4.NumberOutNumber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11.4</v>
      </c>
      <c r="L18" cm="1">
        <f t="array" ref="L18">IFERROR(_xlfn.STDEV.S(IF((OutputTable[GroupByKey]=OutputTable[[#This Row],[GroupByKey]]),(OutputTable[GroupByKey]=OutputTable[[#This Row],[GroupByKey]])*OutputTable[RecordedValue])),0)</f>
        <v>1.8378731669453656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18" cm="1">
        <f t="array" ref="O18">MIN(IF((OutputTable[GroupByKey]=OutputTable[[#This Row],[GroupByKey]]),(OutputTable[GroupByKey]=OutputTable[[#This Row],[GroupByKey]])*OutputTable[RecordedValue]))</f>
        <v>8</v>
      </c>
      <c r="P18" cm="1">
        <f t="array" ref="P18">MAX(IF((OutputTable[GroupByKey]=OutputTable[[#This Row],[GroupByKey]]),(OutputTable[GroupByKey]=OutputTable[[#This Row],[GroupByKey]])*OutputTable[RecordedValue]))</f>
        <v>14</v>
      </c>
    </row>
    <row r="19" spans="1:16" x14ac:dyDescent="0.3">
      <c r="A19" t="s">
        <v>66</v>
      </c>
      <c r="B19" t="s">
        <v>68</v>
      </c>
      <c r="C19">
        <v>2</v>
      </c>
      <c r="D19" t="s">
        <v>101</v>
      </c>
      <c r="E19" t="s">
        <v>102</v>
      </c>
      <c r="F19" t="s">
        <v>93</v>
      </c>
      <c r="G19">
        <v>37</v>
      </c>
      <c r="H19">
        <v>0</v>
      </c>
      <c r="I19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35</v>
      </c>
      <c r="L19" cm="1">
        <f t="array" ref="L19">IFERROR(_xlfn.STDEV.S(IF((OutputTable[GroupByKey]=OutputTable[[#This Row],[GroupByKey]]),(OutputTable[GroupByKey]=OutputTable[[#This Row],[GroupByKey]])*OutputTable[RecordedValue])),0)</f>
        <v>1.7638342073763937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19" cm="1">
        <f t="array" ref="O19">MIN(IF((OutputTable[GroupByKey]=OutputTable[[#This Row],[GroupByKey]]),(OutputTable[GroupByKey]=OutputTable[[#This Row],[GroupByKey]])*OutputTable[RecordedValue]))</f>
        <v>32</v>
      </c>
      <c r="P19" cm="1">
        <f t="array" ref="P19">MAX(IF((OutputTable[GroupByKey]=OutputTable[[#This Row],[GroupByKey]]),(OutputTable[GroupByKey]=OutputTable[[#This Row],[GroupByKey]])*OutputTable[RecordedValue]))</f>
        <v>37</v>
      </c>
    </row>
    <row r="20" spans="1:16" x14ac:dyDescent="0.3">
      <c r="A20" t="s">
        <v>66</v>
      </c>
      <c r="B20" t="s">
        <v>68</v>
      </c>
      <c r="C20">
        <v>2</v>
      </c>
      <c r="D20" t="s">
        <v>103</v>
      </c>
      <c r="E20" t="s">
        <v>104</v>
      </c>
      <c r="F20" t="s">
        <v>93</v>
      </c>
      <c r="G20">
        <v>0.89145105084620302</v>
      </c>
      <c r="H20">
        <v>0</v>
      </c>
      <c r="I20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0.83106107177752264</v>
      </c>
      <c r="L20" cm="1">
        <f t="array" ref="L20">IFERROR(_xlfn.STDEV.S(IF((OutputTable[GroupByKey]=OutputTable[[#This Row],[GroupByKey]]),(OutputTable[GroupByKey]=OutputTable[[#This Row],[GroupByKey]])*OutputTable[RecordedValue])),0)</f>
        <v>6.4548027001173278E-2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20" cm="1">
        <f t="array" ref="O20">MIN(IF((OutputTable[GroupByKey]=OutputTable[[#This Row],[GroupByKey]]),(OutputTable[GroupByKey]=OutputTable[[#This Row],[GroupByKey]])*OutputTable[RecordedValue]))</f>
        <v>0.70923148168898098</v>
      </c>
      <c r="P20" cm="1">
        <f t="array" ref="P20">MAX(IF((OutputTable[GroupByKey]=OutputTable[[#This Row],[GroupByKey]]),(OutputTable[GroupByKey]=OutputTable[[#This Row],[GroupByKey]])*OutputTable[RecordedValue]))</f>
        <v>0.92513911074198196</v>
      </c>
    </row>
    <row r="21" spans="1:16" x14ac:dyDescent="0.3">
      <c r="A21" t="s">
        <v>66</v>
      </c>
      <c r="B21" t="s">
        <v>68</v>
      </c>
      <c r="C21">
        <v>2</v>
      </c>
      <c r="D21" t="s">
        <v>105</v>
      </c>
      <c r="E21" t="s">
        <v>102</v>
      </c>
      <c r="F21" t="s">
        <v>93</v>
      </c>
      <c r="G21">
        <v>36</v>
      </c>
      <c r="H21">
        <v>0</v>
      </c>
      <c r="I21" t="str">
        <f>OutputTable[[#This Row],[ProjectName]]&amp;OutputTable[[#This Row],[Name]]&amp;OutputTable[[#This Row],[Type]]&amp;OutputTable[[#This Row],[Source]]</f>
        <v>Unnamed ProjectMachine B.NumberSeizedTotal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33.4</v>
      </c>
      <c r="L21" cm="1">
        <f t="array" ref="L21">IFERROR(_xlfn.STDEV.S(IF((OutputTable[GroupByKey]=OutputTable[[#This Row],[GroupByKey]]),(OutputTable[GroupByKey]=OutputTable[[#This Row],[GroupByKey]])*OutputTable[RecordedValue])),0)</f>
        <v>2.5905812303633931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21" cm="1">
        <f t="array" ref="O21">MIN(IF((OutputTable[GroupByKey]=OutputTable[[#This Row],[GroupByKey]]),(OutputTable[GroupByKey]=OutputTable[[#This Row],[GroupByKey]])*OutputTable[RecordedValue]))</f>
        <v>29</v>
      </c>
      <c r="P21" cm="1">
        <f t="array" ref="P21">MAX(IF((OutputTable[GroupByKey]=OutputTable[[#This Row],[GroupByKey]]),(OutputTable[GroupByKey]=OutputTable[[#This Row],[GroupByKey]])*OutputTable[RecordedValue]))</f>
        <v>37</v>
      </c>
    </row>
    <row r="22" spans="1:16" x14ac:dyDescent="0.3">
      <c r="A22" t="s">
        <v>66</v>
      </c>
      <c r="B22" t="s">
        <v>68</v>
      </c>
      <c r="C22">
        <v>2</v>
      </c>
      <c r="D22" t="s">
        <v>106</v>
      </c>
      <c r="E22" t="s">
        <v>104</v>
      </c>
      <c r="F22" t="s">
        <v>93</v>
      </c>
      <c r="G22">
        <v>0.870326788161501</v>
      </c>
      <c r="H22">
        <v>0</v>
      </c>
      <c r="I22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0.84520971658291411</v>
      </c>
      <c r="L22" cm="1">
        <f t="array" ref="L22">IFERROR(_xlfn.STDEV.S(IF((OutputTable[GroupByKey]=OutputTable[[#This Row],[GroupByKey]]),(OutputTable[GroupByKey]=OutputTable[[#This Row],[GroupByKey]])*OutputTable[RecordedValue])),0)</f>
        <v>6.1226598287413884E-2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22" cm="1">
        <f t="array" ref="O22">MIN(IF((OutputTable[GroupByKey]=OutputTable[[#This Row],[GroupByKey]]),(OutputTable[GroupByKey]=OutputTable[[#This Row],[GroupByKey]])*OutputTable[RecordedValue]))</f>
        <v>0.71728584076343305</v>
      </c>
      <c r="P22" cm="1">
        <f t="array" ref="P22">MAX(IF((OutputTable[GroupByKey]=OutputTable[[#This Row],[GroupByKey]]),(OutputTable[GroupByKey]=OutputTable[[#This Row],[GroupByKey]])*OutputTable[RecordedValue]))</f>
        <v>0.91938608785018705</v>
      </c>
    </row>
    <row r="23" spans="1:16" x14ac:dyDescent="0.3">
      <c r="A23" t="s">
        <v>66</v>
      </c>
      <c r="B23" t="s">
        <v>68</v>
      </c>
      <c r="C23">
        <v>2</v>
      </c>
      <c r="D23" t="s">
        <v>107</v>
      </c>
      <c r="E23" t="s">
        <v>102</v>
      </c>
      <c r="F23" t="s">
        <v>93</v>
      </c>
      <c r="G23">
        <v>29</v>
      </c>
      <c r="H23">
        <v>0</v>
      </c>
      <c r="I23" t="str">
        <f>OutputTable[[#This Row],[ProjectName]]&amp;OutputTable[[#This Row],[Name]]&amp;OutputTable[[#This Row],[Type]]&amp;OutputTable[[#This Row],[Source]]</f>
        <v>Unnamed ProjectMachine C.NumberSeizedTotal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32.6</v>
      </c>
      <c r="L23" cm="1">
        <f t="array" ref="L23">IFERROR(_xlfn.STDEV.S(IF((OutputTable[GroupByKey]=OutputTable[[#This Row],[GroupByKey]]),(OutputTable[GroupByKey]=OutputTable[[#This Row],[GroupByKey]])*OutputTable[RecordedValue])),0)</f>
        <v>2.5473297566057069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23" cm="1">
        <f t="array" ref="O23">MIN(IF((OutputTable[GroupByKey]=OutputTable[[#This Row],[GroupByKey]]),(OutputTable[GroupByKey]=OutputTable[[#This Row],[GroupByKey]])*OutputTable[RecordedValue]))</f>
        <v>29</v>
      </c>
      <c r="P23" cm="1">
        <f t="array" ref="P23">MAX(IF((OutputTable[GroupByKey]=OutputTable[[#This Row],[GroupByKey]]),(OutputTable[GroupByKey]=OutputTable[[#This Row],[GroupByKey]])*OutputTable[RecordedValue]))</f>
        <v>37</v>
      </c>
    </row>
    <row r="24" spans="1:16" x14ac:dyDescent="0.3">
      <c r="A24" t="s">
        <v>66</v>
      </c>
      <c r="B24" t="s">
        <v>68</v>
      </c>
      <c r="C24">
        <v>2</v>
      </c>
      <c r="D24" t="s">
        <v>108</v>
      </c>
      <c r="E24" t="s">
        <v>104</v>
      </c>
      <c r="F24" t="s">
        <v>93</v>
      </c>
      <c r="G24">
        <v>0.70782288620545397</v>
      </c>
      <c r="H24">
        <v>0</v>
      </c>
      <c r="I24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0.77733493379426299</v>
      </c>
      <c r="L24" cm="1">
        <f t="array" ref="L24">IFERROR(_xlfn.STDEV.S(IF((OutputTable[GroupByKey]=OutputTable[[#This Row],[GroupByKey]]),(OutputTable[GroupByKey]=OutputTable[[#This Row],[GroupByKey]])*OutputTable[RecordedValue])),0)</f>
        <v>6.75490523663973E-2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24" cm="1">
        <f t="array" ref="O24">MIN(IF((OutputTable[GroupByKey]=OutputTable[[#This Row],[GroupByKey]]),(OutputTable[GroupByKey]=OutputTable[[#This Row],[GroupByKey]])*OutputTable[RecordedValue]))</f>
        <v>0.69586636126078405</v>
      </c>
      <c r="P24" cm="1">
        <f t="array" ref="P24">MAX(IF((OutputTable[GroupByKey]=OutputTable[[#This Row],[GroupByKey]]),(OutputTable[GroupByKey]=OutputTable[[#This Row],[GroupByKey]])*OutputTable[RecordedValue]))</f>
        <v>0.89372434220669095</v>
      </c>
    </row>
    <row r="25" spans="1:16" x14ac:dyDescent="0.3">
      <c r="A25" t="s">
        <v>66</v>
      </c>
      <c r="B25" t="s">
        <v>68</v>
      </c>
      <c r="C25">
        <v>2</v>
      </c>
      <c r="D25" t="s">
        <v>109</v>
      </c>
      <c r="E25" t="s">
        <v>110</v>
      </c>
      <c r="F25" t="s">
        <v>82</v>
      </c>
      <c r="G25">
        <v>49</v>
      </c>
      <c r="H25">
        <v>0</v>
      </c>
      <c r="I25" t="str">
        <f>OutputTable[[#This Row],[ProjectName]]&amp;OutputTable[[#This Row],[Name]]&amp;OutputTable[[#This Row],[Type]]&amp;OutputTable[[#This Row],[Source]]</f>
        <v>Unnamed ProjectPiece.NumberInNumber InEntity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49</v>
      </c>
      <c r="L25" cm="1">
        <f t="array" ref="L25">IFERROR(_xlfn.STDEV.S(IF((OutputTable[GroupByKey]=OutputTable[[#This Row],[GroupByKey]]),(OutputTable[GroupByKey]=OutputTable[[#This Row],[GroupByKey]])*OutputTable[RecordedValue])),0)</f>
        <v>0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" cm="1">
        <f t="array" ref="O25">MIN(IF((OutputTable[GroupByKey]=OutputTable[[#This Row],[GroupByKey]]),(OutputTable[GroupByKey]=OutputTable[[#This Row],[GroupByKey]])*OutputTable[RecordedValue]))</f>
        <v>49</v>
      </c>
      <c r="P25" cm="1">
        <f t="array" ref="P25">MAX(IF((OutputTable[GroupByKey]=OutputTable[[#This Row],[GroupByKey]]),(OutputTable[GroupByKey]=OutputTable[[#This Row],[GroupByKey]])*OutputTable[RecordedValue]))</f>
        <v>49</v>
      </c>
    </row>
    <row r="26" spans="1:16" x14ac:dyDescent="0.3">
      <c r="A26" t="s">
        <v>66</v>
      </c>
      <c r="B26" t="s">
        <v>68</v>
      </c>
      <c r="C26">
        <v>2</v>
      </c>
      <c r="D26" t="s">
        <v>111</v>
      </c>
      <c r="E26" t="s">
        <v>112</v>
      </c>
      <c r="F26" t="s">
        <v>82</v>
      </c>
      <c r="G26">
        <v>49</v>
      </c>
      <c r="H26">
        <v>0</v>
      </c>
      <c r="I26" t="str">
        <f>OutputTable[[#This Row],[ProjectName]]&amp;OutputTable[[#This Row],[Name]]&amp;OutputTable[[#This Row],[Type]]&amp;OutputTable[[#This Row],[Source]]</f>
        <v>Unnamed ProjectPiece.NumberOutNumber OutEntity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49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 cm="1">
        <f t="array" ref="O26">MIN(IF((OutputTable[GroupByKey]=OutputTable[[#This Row],[GroupByKey]]),(OutputTable[GroupByKey]=OutputTable[[#This Row],[GroupByKey]])*OutputTable[RecordedValue]))</f>
        <v>49</v>
      </c>
      <c r="P26" cm="1">
        <f t="array" ref="P26">MAX(IF((OutputTable[GroupByKey]=OutputTable[[#This Row],[GroupByKey]]),(OutputTable[GroupByKey]=OutputTable[[#This Row],[GroupByKey]])*OutputTable[RecordedValue]))</f>
        <v>49</v>
      </c>
    </row>
    <row r="27" spans="1:16" x14ac:dyDescent="0.3">
      <c r="A27" t="s">
        <v>66</v>
      </c>
      <c r="B27" t="s">
        <v>68</v>
      </c>
      <c r="C27">
        <v>2</v>
      </c>
      <c r="D27" t="s">
        <v>113</v>
      </c>
      <c r="E27" t="s">
        <v>112</v>
      </c>
      <c r="F27" t="s">
        <v>114</v>
      </c>
      <c r="G27">
        <v>43</v>
      </c>
      <c r="H27">
        <v>0</v>
      </c>
      <c r="I27" t="str">
        <f>OutputTable[[#This Row],[ProjectName]]&amp;OutputTable[[#This Row],[Name]]&amp;OutputTable[[#This Row],[Type]]&amp;OutputTable[[#This Row],[Source]]</f>
        <v>Unnamed ProjectSystem.NumberOutNumber OutSystem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42.6</v>
      </c>
      <c r="L27" cm="1">
        <f t="array" ref="L27">IFERROR(_xlfn.STDEV.S(IF((OutputTable[GroupByKey]=OutputTable[[#This Row],[GroupByKey]]),(OutputTable[GroupByKey]=OutputTable[[#This Row],[GroupByKey]])*OutputTable[RecordedValue])),0)</f>
        <v>1.0749676997731399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27" cm="1">
        <f t="array" ref="O27">MIN(IF((OutputTable[GroupByKey]=OutputTable[[#This Row],[GroupByKey]]),(OutputTable[GroupByKey]=OutputTable[[#This Row],[GroupByKey]])*OutputTable[RecordedValue]))</f>
        <v>41</v>
      </c>
      <c r="P27" cm="1">
        <f t="array" ref="P27">MAX(IF((OutputTable[GroupByKey]=OutputTable[[#This Row],[GroupByKey]]),(OutputTable[GroupByKey]=OutputTable[[#This Row],[GroupByKey]])*OutputTable[RecordedValue]))</f>
        <v>44</v>
      </c>
    </row>
    <row r="28" spans="1:16" x14ac:dyDescent="0.3">
      <c r="A28" t="s">
        <v>66</v>
      </c>
      <c r="B28" t="s">
        <v>68</v>
      </c>
      <c r="C28">
        <v>2</v>
      </c>
      <c r="D28" t="s">
        <v>115</v>
      </c>
      <c r="E28" t="s">
        <v>110</v>
      </c>
      <c r="F28" t="s">
        <v>82</v>
      </c>
      <c r="G28">
        <v>9</v>
      </c>
      <c r="H28">
        <v>0</v>
      </c>
      <c r="I28" t="str">
        <f>OutputTable[[#This Row],[ProjectName]]&amp;OutputTable[[#This Row],[Name]]&amp;OutputTable[[#This Row],[Type]]&amp;OutputTable[[#This Row],[Source]]</f>
        <v>Unnamed ProjectType1.NumberInNumber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12.5</v>
      </c>
      <c r="L28" cm="1">
        <f t="array" ref="L28">IFERROR(_xlfn.STDEV.S(IF((OutputTable[GroupByKey]=OutputTable[[#This Row],[GroupByKey]]),(OutputTable[GroupByKey]=OutputTable[[#This Row],[GroupByKey]])*OutputTable[RecordedValue])),0)</f>
        <v>2.9154759474226504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28" cm="1">
        <f t="array" ref="O28">MIN(IF((OutputTable[GroupByKey]=OutputTable[[#This Row],[GroupByKey]]),(OutputTable[GroupByKey]=OutputTable[[#This Row],[GroupByKey]])*OutputTable[RecordedValue]))</f>
        <v>9</v>
      </c>
      <c r="P28" cm="1">
        <f t="array" ref="P28">MAX(IF((OutputTable[GroupByKey]=OutputTable[[#This Row],[GroupByKey]]),(OutputTable[GroupByKey]=OutputTable[[#This Row],[GroupByKey]])*OutputTable[RecordedValue]))</f>
        <v>18</v>
      </c>
    </row>
    <row r="29" spans="1:16" x14ac:dyDescent="0.3">
      <c r="A29" t="s">
        <v>66</v>
      </c>
      <c r="B29" t="s">
        <v>68</v>
      </c>
      <c r="C29">
        <v>2</v>
      </c>
      <c r="D29" t="s">
        <v>116</v>
      </c>
      <c r="E29" t="s">
        <v>112</v>
      </c>
      <c r="F29" t="s">
        <v>82</v>
      </c>
      <c r="G29">
        <v>9</v>
      </c>
      <c r="H29">
        <v>0</v>
      </c>
      <c r="I29" t="str">
        <f>OutputTable[[#This Row],[ProjectName]]&amp;OutputTable[[#This Row],[Name]]&amp;OutputTable[[#This Row],[Type]]&amp;OutputTable[[#This Row],[Source]]</f>
        <v>Unnamed ProjectType1.NumberOutNumber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11.1</v>
      </c>
      <c r="L29" cm="1">
        <f t="array" ref="L29">IFERROR(_xlfn.STDEV.S(IF((OutputTable[GroupByKey]=OutputTable[[#This Row],[GroupByKey]]),(OutputTable[GroupByKey]=OutputTable[[#This Row],[GroupByKey]])*OutputTable[RecordedValue])),0)</f>
        <v>2.6436506745197819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29" cm="1">
        <f t="array" ref="O29">MIN(IF((OutputTable[GroupByKey]=OutputTable[[#This Row],[GroupByKey]]),(OutputTable[GroupByKey]=OutputTable[[#This Row],[GroupByKey]])*OutputTable[RecordedValue]))</f>
        <v>8</v>
      </c>
      <c r="P29" cm="1">
        <f t="array" ref="P29">MAX(IF((OutputTable[GroupByKey]=OutputTable[[#This Row],[GroupByKey]]),(OutputTable[GroupByKey]=OutputTable[[#This Row],[GroupByKey]])*OutputTable[RecordedValue]))</f>
        <v>16</v>
      </c>
    </row>
    <row r="30" spans="1:16" x14ac:dyDescent="0.3">
      <c r="A30" t="s">
        <v>66</v>
      </c>
      <c r="B30" t="s">
        <v>68</v>
      </c>
      <c r="C30">
        <v>2</v>
      </c>
      <c r="D30" t="s">
        <v>117</v>
      </c>
      <c r="E30" t="s">
        <v>110</v>
      </c>
      <c r="F30" t="s">
        <v>82</v>
      </c>
      <c r="G30">
        <v>14</v>
      </c>
      <c r="H30">
        <v>0</v>
      </c>
      <c r="I30" t="str">
        <f>OutputTable[[#This Row],[ProjectName]]&amp;OutputTable[[#This Row],[Name]]&amp;OutputTable[[#This Row],[Type]]&amp;OutputTable[[#This Row],[Source]]</f>
        <v>Unnamed ProjectType2.NumberInNumber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11.3</v>
      </c>
      <c r="L30" cm="1">
        <f t="array" ref="L30">IFERROR(_xlfn.STDEV.S(IF((OutputTable[GroupByKey]=OutputTable[[#This Row],[GroupByKey]]),(OutputTable[GroupByKey]=OutputTable[[#This Row],[GroupByKey]])*OutputTable[RecordedValue])),0)</f>
        <v>1.7029386365926371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30" cm="1">
        <f t="array" ref="O30">MIN(IF((OutputTable[GroupByKey]=OutputTable[[#This Row],[GroupByKey]]),(OutputTable[GroupByKey]=OutputTable[[#This Row],[GroupByKey]])*OutputTable[RecordedValue]))</f>
        <v>9</v>
      </c>
      <c r="P30" cm="1">
        <f t="array" ref="P30">MAX(IF((OutputTable[GroupByKey]=OutputTable[[#This Row],[GroupByKey]]),(OutputTable[GroupByKey]=OutputTable[[#This Row],[GroupByKey]])*OutputTable[RecordedValue]))</f>
        <v>14</v>
      </c>
    </row>
    <row r="31" spans="1:16" x14ac:dyDescent="0.3">
      <c r="A31" t="s">
        <v>66</v>
      </c>
      <c r="B31" t="s">
        <v>68</v>
      </c>
      <c r="C31">
        <v>2</v>
      </c>
      <c r="D31" t="s">
        <v>118</v>
      </c>
      <c r="E31" t="s">
        <v>112</v>
      </c>
      <c r="F31" t="s">
        <v>82</v>
      </c>
      <c r="G31">
        <v>10</v>
      </c>
      <c r="H31">
        <v>0</v>
      </c>
      <c r="I31" t="str">
        <f>OutputTable[[#This Row],[ProjectName]]&amp;OutputTable[[#This Row],[Name]]&amp;OutputTable[[#This Row],[Type]]&amp;OutputTable[[#This Row],[Source]]</f>
        <v>Unnamed ProjectType2.NumberOutNumber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9.1</v>
      </c>
      <c r="L31" cm="1">
        <f t="array" ref="L31">IFERROR(_xlfn.STDEV.S(IF((OutputTable[GroupByKey]=OutputTable[[#This Row],[GroupByKey]]),(OutputTable[GroupByKey]=OutputTable[[#This Row],[GroupByKey]])*OutputTable[RecordedValue])),0)</f>
        <v>1.3703203194062967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31" cm="1">
        <f t="array" ref="O31">MIN(IF((OutputTable[GroupByKey]=OutputTable[[#This Row],[GroupByKey]]),(OutputTable[GroupByKey]=OutputTable[[#This Row],[GroupByKey]])*OutputTable[RecordedValue]))</f>
        <v>7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3">
      <c r="A32" t="s">
        <v>66</v>
      </c>
      <c r="B32" t="s">
        <v>68</v>
      </c>
      <c r="C32">
        <v>2</v>
      </c>
      <c r="D32" t="s">
        <v>119</v>
      </c>
      <c r="E32" t="s">
        <v>110</v>
      </c>
      <c r="F32" t="s">
        <v>82</v>
      </c>
      <c r="G32">
        <v>16</v>
      </c>
      <c r="H32">
        <v>0</v>
      </c>
      <c r="I32" t="str">
        <f>OutputTable[[#This Row],[ProjectName]]&amp;OutputTable[[#This Row],[Name]]&amp;OutputTable[[#This Row],[Type]]&amp;OutputTable[[#This Row],[Source]]</f>
        <v>Unnamed ProjectType3.NumberInNumber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12.7</v>
      </c>
      <c r="L32" cm="1">
        <f t="array" ref="L32">IFERROR(_xlfn.STDEV.S(IF((OutputTable[GroupByKey]=OutputTable[[#This Row],[GroupByKey]]),(OutputTable[GroupByKey]=OutputTable[[#This Row],[GroupByKey]])*OutputTable[RecordedValue])),0)</f>
        <v>2.7507574714370326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32" cm="1">
        <f t="array" ref="O32">MIN(IF((OutputTable[GroupByKey]=OutputTable[[#This Row],[GroupByKey]]),(OutputTable[GroupByKey]=OutputTable[[#This Row],[GroupByKey]])*OutputTable[RecordedValue]))</f>
        <v>8</v>
      </c>
      <c r="P32" cm="1">
        <f t="array" ref="P32">MAX(IF((OutputTable[GroupByKey]=OutputTable[[#This Row],[GroupByKey]]),(OutputTable[GroupByKey]=OutputTable[[#This Row],[GroupByKey]])*OutputTable[RecordedValue]))</f>
        <v>17</v>
      </c>
    </row>
    <row r="33" spans="1:16" x14ac:dyDescent="0.3">
      <c r="A33" t="s">
        <v>66</v>
      </c>
      <c r="B33" t="s">
        <v>68</v>
      </c>
      <c r="C33">
        <v>2</v>
      </c>
      <c r="D33" t="s">
        <v>120</v>
      </c>
      <c r="E33" t="s">
        <v>112</v>
      </c>
      <c r="F33" t="s">
        <v>82</v>
      </c>
      <c r="G33">
        <v>14</v>
      </c>
      <c r="H33">
        <v>0</v>
      </c>
      <c r="I33" t="str">
        <f>OutputTable[[#This Row],[ProjectName]]&amp;OutputTable[[#This Row],[Name]]&amp;OutputTable[[#This Row],[Type]]&amp;OutputTable[[#This Row],[Source]]</f>
        <v>Unnamed ProjectType3.NumberOutNumber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11</v>
      </c>
      <c r="L33" cm="1">
        <f t="array" ref="L33">IFERROR(_xlfn.STDEV.S(IF((OutputTable[GroupByKey]=OutputTable[[#This Row],[GroupByKey]]),(OutputTable[GroupByKey]=OutputTable[[#This Row],[GroupByKey]])*OutputTable[RecordedValue])),0)</f>
        <v>2.1081851067789197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33" cm="1">
        <f t="array" ref="O33">MIN(IF((OutputTable[GroupByKey]=OutputTable[[#This Row],[GroupByKey]]),(OutputTable[GroupByKey]=OutputTable[[#This Row],[GroupByKey]])*OutputTable[RecordedValue]))</f>
        <v>8</v>
      </c>
      <c r="P33" cm="1">
        <f t="array" ref="P33">MAX(IF((OutputTable[GroupByKey]=OutputTable[[#This Row],[GroupByKey]]),(OutputTable[GroupByKey]=OutputTable[[#This Row],[GroupByKey]])*OutputTable[RecordedValue]))</f>
        <v>14</v>
      </c>
    </row>
    <row r="34" spans="1:16" x14ac:dyDescent="0.3">
      <c r="A34" t="s">
        <v>66</v>
      </c>
      <c r="B34" t="s">
        <v>68</v>
      </c>
      <c r="C34">
        <v>2</v>
      </c>
      <c r="D34" t="s">
        <v>121</v>
      </c>
      <c r="E34" t="s">
        <v>110</v>
      </c>
      <c r="F34" t="s">
        <v>82</v>
      </c>
      <c r="G34">
        <v>10</v>
      </c>
      <c r="H34">
        <v>0</v>
      </c>
      <c r="I34" t="str">
        <f>OutputTable[[#This Row],[ProjectName]]&amp;OutputTable[[#This Row],[Name]]&amp;OutputTable[[#This Row],[Type]]&amp;OutputTable[[#This Row],[Source]]</f>
        <v>Unnamed ProjectType4.NumberInNumber InEntity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12.5</v>
      </c>
      <c r="L34" cm="1">
        <f t="array" ref="L34">IFERROR(_xlfn.STDEV.S(IF((OutputTable[GroupByKey]=OutputTable[[#This Row],[GroupByKey]]),(OutputTable[GroupByKey]=OutputTable[[#This Row],[GroupByKey]])*OutputTable[RecordedValue])),0)</f>
        <v>2.2730302828309759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34" cm="1">
        <f t="array" ref="O34">MIN(IF((OutputTable[GroupByKey]=OutputTable[[#This Row],[GroupByKey]]),(OutputTable[GroupByKey]=OutputTable[[#This Row],[GroupByKey]])*OutputTable[RecordedValue]))</f>
        <v>9</v>
      </c>
      <c r="P34" cm="1">
        <f t="array" ref="P34">MAX(IF((OutputTable[GroupByKey]=OutputTable[[#This Row],[GroupByKey]]),(OutputTable[GroupByKey]=OutputTable[[#This Row],[GroupByKey]])*OutputTable[RecordedValue]))</f>
        <v>16</v>
      </c>
    </row>
    <row r="35" spans="1:16" x14ac:dyDescent="0.3">
      <c r="A35" t="s">
        <v>66</v>
      </c>
      <c r="B35" t="s">
        <v>68</v>
      </c>
      <c r="C35">
        <v>2</v>
      </c>
      <c r="D35" t="s">
        <v>122</v>
      </c>
      <c r="E35" t="s">
        <v>112</v>
      </c>
      <c r="F35" t="s">
        <v>82</v>
      </c>
      <c r="G35">
        <v>10</v>
      </c>
      <c r="H35">
        <v>0</v>
      </c>
      <c r="I35" t="str">
        <f>OutputTable[[#This Row],[ProjectName]]&amp;OutputTable[[#This Row],[Name]]&amp;OutputTable[[#This Row],[Type]]&amp;OutputTable[[#This Row],[Source]]</f>
        <v>Unnamed ProjectType4.NumberOutNumber OutEntity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11.4</v>
      </c>
      <c r="L35" cm="1">
        <f t="array" ref="L35">IFERROR(_xlfn.STDEV.S(IF((OutputTable[GroupByKey]=OutputTable[[#This Row],[GroupByKey]]),(OutputTable[GroupByKey]=OutputTable[[#This Row],[GroupByKey]])*OutputTable[RecordedValue])),0)</f>
        <v>1.8378731669453656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35" cm="1">
        <f t="array" ref="O35">MIN(IF((OutputTable[GroupByKey]=OutputTable[[#This Row],[GroupByKey]]),(OutputTable[GroupByKey]=OutputTable[[#This Row],[GroupByKey]])*OutputTable[RecordedValue]))</f>
        <v>8</v>
      </c>
      <c r="P35" cm="1">
        <f t="array" ref="P35">MAX(IF((OutputTable[GroupByKey]=OutputTable[[#This Row],[GroupByKey]]),(OutputTable[GroupByKey]=OutputTable[[#This Row],[GroupByKey]])*OutputTable[RecordedValue]))</f>
        <v>14</v>
      </c>
    </row>
    <row r="36" spans="1:16" x14ac:dyDescent="0.3">
      <c r="A36" t="s">
        <v>66</v>
      </c>
      <c r="B36" t="s">
        <v>68</v>
      </c>
      <c r="C36">
        <v>3</v>
      </c>
      <c r="D36" t="s">
        <v>101</v>
      </c>
      <c r="E36" t="s">
        <v>102</v>
      </c>
      <c r="F36" t="s">
        <v>93</v>
      </c>
      <c r="G36">
        <v>35</v>
      </c>
      <c r="H36">
        <v>0</v>
      </c>
      <c r="I36" t="str">
        <f>OutputTable[[#This Row],[ProjectName]]&amp;OutputTable[[#This Row],[Name]]&amp;OutputTable[[#This Row],[Type]]&amp;OutputTable[[#This Row],[Source]]</f>
        <v>Unnamed ProjectMachine A.NumberSeizedTotal Number SeizedResource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35</v>
      </c>
      <c r="L36" cm="1">
        <f t="array" ref="L36">IFERROR(_xlfn.STDEV.S(IF((OutputTable[GroupByKey]=OutputTable[[#This Row],[GroupByKey]]),(OutputTable[GroupByKey]=OutputTable[[#This Row],[GroupByKey]])*OutputTable[RecordedValue])),0)</f>
        <v>1.7638342073763937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36" cm="1">
        <f t="array" ref="O36">MIN(IF((OutputTable[GroupByKey]=OutputTable[[#This Row],[GroupByKey]]),(OutputTable[GroupByKey]=OutputTable[[#This Row],[GroupByKey]])*OutputTable[RecordedValue]))</f>
        <v>32</v>
      </c>
      <c r="P36" cm="1">
        <f t="array" ref="P36">MAX(IF((OutputTable[GroupByKey]=OutputTable[[#This Row],[GroupByKey]]),(OutputTable[GroupByKey]=OutputTable[[#This Row],[GroupByKey]])*OutputTable[RecordedValue]))</f>
        <v>37</v>
      </c>
    </row>
    <row r="37" spans="1:16" x14ac:dyDescent="0.3">
      <c r="A37" t="s">
        <v>66</v>
      </c>
      <c r="B37" t="s">
        <v>68</v>
      </c>
      <c r="C37">
        <v>3</v>
      </c>
      <c r="D37" t="s">
        <v>103</v>
      </c>
      <c r="E37" t="s">
        <v>104</v>
      </c>
      <c r="F37" t="s">
        <v>93</v>
      </c>
      <c r="G37">
        <v>0.80803419515763997</v>
      </c>
      <c r="H37">
        <v>0</v>
      </c>
      <c r="I37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0.83106107177752264</v>
      </c>
      <c r="L37" cm="1">
        <f t="array" ref="L37">IFERROR(_xlfn.STDEV.S(IF((OutputTable[GroupByKey]=OutputTable[[#This Row],[GroupByKey]]),(OutputTable[GroupByKey]=OutputTable[[#This Row],[GroupByKey]])*OutputTable[RecordedValue])),0)</f>
        <v>6.4548027001173278E-2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37" cm="1">
        <f t="array" ref="O37">MIN(IF((OutputTable[GroupByKey]=OutputTable[[#This Row],[GroupByKey]]),(OutputTable[GroupByKey]=OutputTable[[#This Row],[GroupByKey]])*OutputTable[RecordedValue]))</f>
        <v>0.70923148168898098</v>
      </c>
      <c r="P37" cm="1">
        <f t="array" ref="P37">MAX(IF((OutputTable[GroupByKey]=OutputTable[[#This Row],[GroupByKey]]),(OutputTable[GroupByKey]=OutputTable[[#This Row],[GroupByKey]])*OutputTable[RecordedValue]))</f>
        <v>0.92513911074198196</v>
      </c>
    </row>
    <row r="38" spans="1:16" x14ac:dyDescent="0.3">
      <c r="A38" t="s">
        <v>66</v>
      </c>
      <c r="B38" t="s">
        <v>68</v>
      </c>
      <c r="C38">
        <v>3</v>
      </c>
      <c r="D38" t="s">
        <v>105</v>
      </c>
      <c r="E38" t="s">
        <v>102</v>
      </c>
      <c r="F38" t="s">
        <v>93</v>
      </c>
      <c r="G38">
        <v>32</v>
      </c>
      <c r="H38">
        <v>0</v>
      </c>
      <c r="I38" t="str">
        <f>OutputTable[[#This Row],[ProjectName]]&amp;OutputTable[[#This Row],[Name]]&amp;OutputTable[[#This Row],[Type]]&amp;OutputTable[[#This Row],[Source]]</f>
        <v>Unnamed ProjectMachine B.NumberSeizedTotal Number SeizedResource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33.4</v>
      </c>
      <c r="L38" cm="1">
        <f t="array" ref="L38">IFERROR(_xlfn.STDEV.S(IF((OutputTable[GroupByKey]=OutputTable[[#This Row],[GroupByKey]]),(OutputTable[GroupByKey]=OutputTable[[#This Row],[GroupByKey]])*OutputTable[RecordedValue])),0)</f>
        <v>2.5905812303633931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38" cm="1">
        <f t="array" ref="O38">MIN(IF((OutputTable[GroupByKey]=OutputTable[[#This Row],[GroupByKey]]),(OutputTable[GroupByKey]=OutputTable[[#This Row],[GroupByKey]])*OutputTable[RecordedValue]))</f>
        <v>29</v>
      </c>
      <c r="P38" cm="1">
        <f t="array" ref="P38">MAX(IF((OutputTable[GroupByKey]=OutputTable[[#This Row],[GroupByKey]]),(OutputTable[GroupByKey]=OutputTable[[#This Row],[GroupByKey]])*OutputTable[RecordedValue]))</f>
        <v>37</v>
      </c>
    </row>
    <row r="39" spans="1:16" x14ac:dyDescent="0.3">
      <c r="A39" t="s">
        <v>66</v>
      </c>
      <c r="B39" t="s">
        <v>68</v>
      </c>
      <c r="C39">
        <v>3</v>
      </c>
      <c r="D39" t="s">
        <v>106</v>
      </c>
      <c r="E39" t="s">
        <v>104</v>
      </c>
      <c r="F39" t="s">
        <v>93</v>
      </c>
      <c r="G39">
        <v>0.81794711450151802</v>
      </c>
      <c r="H39">
        <v>0</v>
      </c>
      <c r="I39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0.84520971658291411</v>
      </c>
      <c r="L39" cm="1">
        <f t="array" ref="L39">IFERROR(_xlfn.STDEV.S(IF((OutputTable[GroupByKey]=OutputTable[[#This Row],[GroupByKey]]),(OutputTable[GroupByKey]=OutputTable[[#This Row],[GroupByKey]])*OutputTable[RecordedValue])),0)</f>
        <v>6.1226598287413884E-2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39" cm="1">
        <f t="array" ref="O39">MIN(IF((OutputTable[GroupByKey]=OutputTable[[#This Row],[GroupByKey]]),(OutputTable[GroupByKey]=OutputTable[[#This Row],[GroupByKey]])*OutputTable[RecordedValue]))</f>
        <v>0.71728584076343305</v>
      </c>
      <c r="P39" cm="1">
        <f t="array" ref="P39">MAX(IF((OutputTable[GroupByKey]=OutputTable[[#This Row],[GroupByKey]]),(OutputTable[GroupByKey]=OutputTable[[#This Row],[GroupByKey]])*OutputTable[RecordedValue]))</f>
        <v>0.91938608785018705</v>
      </c>
    </row>
    <row r="40" spans="1:16" x14ac:dyDescent="0.3">
      <c r="A40" t="s">
        <v>66</v>
      </c>
      <c r="B40" t="s">
        <v>68</v>
      </c>
      <c r="C40">
        <v>3</v>
      </c>
      <c r="D40" t="s">
        <v>107</v>
      </c>
      <c r="E40" t="s">
        <v>102</v>
      </c>
      <c r="F40" t="s">
        <v>93</v>
      </c>
      <c r="G40">
        <v>33</v>
      </c>
      <c r="H40">
        <v>0</v>
      </c>
      <c r="I40" t="str">
        <f>OutputTable[[#This Row],[ProjectName]]&amp;OutputTable[[#This Row],[Name]]&amp;OutputTable[[#This Row],[Type]]&amp;OutputTable[[#This Row],[Source]]</f>
        <v>Unnamed ProjectMachine C.NumberSeizedTotal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32.6</v>
      </c>
      <c r="L40" cm="1">
        <f t="array" ref="L40">IFERROR(_xlfn.STDEV.S(IF((OutputTable[GroupByKey]=OutputTable[[#This Row],[GroupByKey]]),(OutputTable[GroupByKey]=OutputTable[[#This Row],[GroupByKey]])*OutputTable[RecordedValue])),0)</f>
        <v>2.5473297566057069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40" cm="1">
        <f t="array" ref="O40">MIN(IF((OutputTable[GroupByKey]=OutputTable[[#This Row],[GroupByKey]]),(OutputTable[GroupByKey]=OutputTable[[#This Row],[GroupByKey]])*OutputTable[RecordedValue]))</f>
        <v>29</v>
      </c>
      <c r="P40" cm="1">
        <f t="array" ref="P40">MAX(IF((OutputTable[GroupByKey]=OutputTable[[#This Row],[GroupByKey]]),(OutputTable[GroupByKey]=OutputTable[[#This Row],[GroupByKey]])*OutputTable[RecordedValue]))</f>
        <v>37</v>
      </c>
    </row>
    <row r="41" spans="1:16" x14ac:dyDescent="0.3">
      <c r="A41" t="s">
        <v>66</v>
      </c>
      <c r="B41" t="s">
        <v>68</v>
      </c>
      <c r="C41">
        <v>3</v>
      </c>
      <c r="D41" t="s">
        <v>108</v>
      </c>
      <c r="E41" t="s">
        <v>104</v>
      </c>
      <c r="F41" t="s">
        <v>93</v>
      </c>
      <c r="G41">
        <v>0.79202715857680095</v>
      </c>
      <c r="H41">
        <v>0</v>
      </c>
      <c r="I41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0.77733493379426299</v>
      </c>
      <c r="L41" cm="1">
        <f t="array" ref="L41">IFERROR(_xlfn.STDEV.S(IF((OutputTable[GroupByKey]=OutputTable[[#This Row],[GroupByKey]]),(OutputTable[GroupByKey]=OutputTable[[#This Row],[GroupByKey]])*OutputTable[RecordedValue])),0)</f>
        <v>6.75490523663973E-2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41" cm="1">
        <f t="array" ref="O41">MIN(IF((OutputTable[GroupByKey]=OutputTable[[#This Row],[GroupByKey]]),(OutputTable[GroupByKey]=OutputTable[[#This Row],[GroupByKey]])*OutputTable[RecordedValue]))</f>
        <v>0.69586636126078405</v>
      </c>
      <c r="P41" cm="1">
        <f t="array" ref="P41">MAX(IF((OutputTable[GroupByKey]=OutputTable[[#This Row],[GroupByKey]]),(OutputTable[GroupByKey]=OutputTable[[#This Row],[GroupByKey]])*OutputTable[RecordedValue]))</f>
        <v>0.89372434220669095</v>
      </c>
    </row>
    <row r="42" spans="1:16" x14ac:dyDescent="0.3">
      <c r="A42" t="s">
        <v>66</v>
      </c>
      <c r="B42" t="s">
        <v>68</v>
      </c>
      <c r="C42">
        <v>3</v>
      </c>
      <c r="D42" t="s">
        <v>109</v>
      </c>
      <c r="E42" t="s">
        <v>110</v>
      </c>
      <c r="F42" t="s">
        <v>82</v>
      </c>
      <c r="G42">
        <v>49</v>
      </c>
      <c r="H42">
        <v>0</v>
      </c>
      <c r="I42" t="str">
        <f>OutputTable[[#This Row],[ProjectName]]&amp;OutputTable[[#This Row],[Name]]&amp;OutputTable[[#This Row],[Type]]&amp;OutputTable[[#This Row],[Source]]</f>
        <v>Unnamed ProjectPiece.NumberInNumber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49</v>
      </c>
      <c r="L42" cm="1">
        <f t="array" ref="L42">IFERROR(_xlfn.STDEV.S(IF((OutputTable[GroupByKey]=OutputTable[[#This Row],[GroupByKey]]),(OutputTable[GroupByKey]=OutputTable[[#This Row],[GroupByKey]])*OutputTable[RecordedValue])),0)</f>
        <v>0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cm="1">
        <f t="array" ref="O42">MIN(IF((OutputTable[GroupByKey]=OutputTable[[#This Row],[GroupByKey]]),(OutputTable[GroupByKey]=OutputTable[[#This Row],[GroupByKey]])*OutputTable[RecordedValue]))</f>
        <v>49</v>
      </c>
      <c r="P42" cm="1">
        <f t="array" ref="P42">MAX(IF((OutputTable[GroupByKey]=OutputTable[[#This Row],[GroupByKey]]),(OutputTable[GroupByKey]=OutputTable[[#This Row],[GroupByKey]])*OutputTable[RecordedValue]))</f>
        <v>49</v>
      </c>
    </row>
    <row r="43" spans="1:16" x14ac:dyDescent="0.3">
      <c r="A43" t="s">
        <v>66</v>
      </c>
      <c r="B43" t="s">
        <v>68</v>
      </c>
      <c r="C43">
        <v>3</v>
      </c>
      <c r="D43" t="s">
        <v>111</v>
      </c>
      <c r="E43" t="s">
        <v>112</v>
      </c>
      <c r="F43" t="s">
        <v>82</v>
      </c>
      <c r="G43">
        <v>49</v>
      </c>
      <c r="H43">
        <v>0</v>
      </c>
      <c r="I43" t="str">
        <f>OutputTable[[#This Row],[ProjectName]]&amp;OutputTable[[#This Row],[Name]]&amp;OutputTable[[#This Row],[Type]]&amp;OutputTable[[#This Row],[Source]]</f>
        <v>Unnamed ProjectPiece.NumberOutNumber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49</v>
      </c>
      <c r="L43" cm="1">
        <f t="array" ref="L43">IFERROR(_xlfn.STDEV.S(IF((OutputTable[GroupByKey]=OutputTable[[#This Row],[GroupByKey]]),(OutputTable[GroupByKey]=OutputTable[[#This Row],[GroupByKey]])*OutputTable[RecordedValue])),0)</f>
        <v>0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cm="1">
        <f t="array" ref="O43">MIN(IF((OutputTable[GroupByKey]=OutputTable[[#This Row],[GroupByKey]]),(OutputTable[GroupByKey]=OutputTable[[#This Row],[GroupByKey]])*OutputTable[RecordedValue]))</f>
        <v>49</v>
      </c>
      <c r="P43" cm="1">
        <f t="array" ref="P43">MAX(IF((OutputTable[GroupByKey]=OutputTable[[#This Row],[GroupByKey]]),(OutputTable[GroupByKey]=OutputTable[[#This Row],[GroupByKey]])*OutputTable[RecordedValue]))</f>
        <v>49</v>
      </c>
    </row>
    <row r="44" spans="1:16" x14ac:dyDescent="0.3">
      <c r="A44" t="s">
        <v>66</v>
      </c>
      <c r="B44" t="s">
        <v>68</v>
      </c>
      <c r="C44">
        <v>3</v>
      </c>
      <c r="D44" t="s">
        <v>113</v>
      </c>
      <c r="E44" t="s">
        <v>112</v>
      </c>
      <c r="F44" t="s">
        <v>114</v>
      </c>
      <c r="G44">
        <v>42</v>
      </c>
      <c r="H44">
        <v>0</v>
      </c>
      <c r="I44" t="str">
        <f>OutputTable[[#This Row],[ProjectName]]&amp;OutputTable[[#This Row],[Name]]&amp;OutputTable[[#This Row],[Type]]&amp;OutputTable[[#This Row],[Source]]</f>
        <v>Unnamed ProjectSystem.NumberOutNumber OutSystem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42.6</v>
      </c>
      <c r="L44" cm="1">
        <f t="array" ref="L44">IFERROR(_xlfn.STDEV.S(IF((OutputTable[GroupByKey]=OutputTable[[#This Row],[GroupByKey]]),(OutputTable[GroupByKey]=OutputTable[[#This Row],[GroupByKey]])*OutputTable[RecordedValue])),0)</f>
        <v>1.0749676997731399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44" cm="1">
        <f t="array" ref="O44">MIN(IF((OutputTable[GroupByKey]=OutputTable[[#This Row],[GroupByKey]]),(OutputTable[GroupByKey]=OutputTable[[#This Row],[GroupByKey]])*OutputTable[RecordedValue]))</f>
        <v>41</v>
      </c>
      <c r="P44" cm="1">
        <f t="array" ref="P44">MAX(IF((OutputTable[GroupByKey]=OutputTable[[#This Row],[GroupByKey]]),(OutputTable[GroupByKey]=OutputTable[[#This Row],[GroupByKey]])*OutputTable[RecordedValue]))</f>
        <v>44</v>
      </c>
    </row>
    <row r="45" spans="1:16" x14ac:dyDescent="0.3">
      <c r="A45" t="s">
        <v>66</v>
      </c>
      <c r="B45" t="s">
        <v>68</v>
      </c>
      <c r="C45">
        <v>3</v>
      </c>
      <c r="D45" t="s">
        <v>115</v>
      </c>
      <c r="E45" t="s">
        <v>110</v>
      </c>
      <c r="F45" t="s">
        <v>82</v>
      </c>
      <c r="G45">
        <v>15</v>
      </c>
      <c r="H45">
        <v>0</v>
      </c>
      <c r="I45" t="str">
        <f>OutputTable[[#This Row],[ProjectName]]&amp;OutputTable[[#This Row],[Name]]&amp;OutputTable[[#This Row],[Type]]&amp;OutputTable[[#This Row],[Source]]</f>
        <v>Unnamed ProjectType1.NumberInNumber InEntity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12.5</v>
      </c>
      <c r="L45" cm="1">
        <f t="array" ref="L45">IFERROR(_xlfn.STDEV.S(IF((OutputTable[GroupByKey]=OutputTable[[#This Row],[GroupByKey]]),(OutputTable[GroupByKey]=OutputTable[[#This Row],[GroupByKey]])*OutputTable[RecordedValue])),0)</f>
        <v>2.9154759474226504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45" cm="1">
        <f t="array" ref="O45">MIN(IF((OutputTable[GroupByKey]=OutputTable[[#This Row],[GroupByKey]]),(OutputTable[GroupByKey]=OutputTable[[#This Row],[GroupByKey]])*OutputTable[RecordedValue]))</f>
        <v>9</v>
      </c>
      <c r="P45" cm="1">
        <f t="array" ref="P45">MAX(IF((OutputTable[GroupByKey]=OutputTable[[#This Row],[GroupByKey]]),(OutputTable[GroupByKey]=OutputTable[[#This Row],[GroupByKey]])*OutputTable[RecordedValue]))</f>
        <v>18</v>
      </c>
    </row>
    <row r="46" spans="1:16" x14ac:dyDescent="0.3">
      <c r="A46" t="s">
        <v>66</v>
      </c>
      <c r="B46" t="s">
        <v>68</v>
      </c>
      <c r="C46">
        <v>3</v>
      </c>
      <c r="D46" t="s">
        <v>116</v>
      </c>
      <c r="E46" t="s">
        <v>112</v>
      </c>
      <c r="F46" t="s">
        <v>82</v>
      </c>
      <c r="G46">
        <v>12</v>
      </c>
      <c r="H46">
        <v>0</v>
      </c>
      <c r="I46" t="str">
        <f>OutputTable[[#This Row],[ProjectName]]&amp;OutputTable[[#This Row],[Name]]&amp;OutputTable[[#This Row],[Type]]&amp;OutputTable[[#This Row],[Source]]</f>
        <v>Unnamed ProjectType1.NumberOutNumber OutEntity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11.1</v>
      </c>
      <c r="L46" cm="1">
        <f t="array" ref="L46">IFERROR(_xlfn.STDEV.S(IF((OutputTable[GroupByKey]=OutputTable[[#This Row],[GroupByKey]]),(OutputTable[GroupByKey]=OutputTable[[#This Row],[GroupByKey]])*OutputTable[RecordedValue])),0)</f>
        <v>2.6436506745197819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46" cm="1">
        <f t="array" ref="O46">MIN(IF((OutputTable[GroupByKey]=OutputTable[[#This Row],[GroupByKey]]),(OutputTable[GroupByKey]=OutputTable[[#This Row],[GroupByKey]])*OutputTable[RecordedValue]))</f>
        <v>8</v>
      </c>
      <c r="P46" cm="1">
        <f t="array" ref="P46">MAX(IF((OutputTable[GroupByKey]=OutputTable[[#This Row],[GroupByKey]]),(OutputTable[GroupByKey]=OutputTable[[#This Row],[GroupByKey]])*OutputTable[RecordedValue]))</f>
        <v>16</v>
      </c>
    </row>
    <row r="47" spans="1:16" x14ac:dyDescent="0.3">
      <c r="A47" t="s">
        <v>66</v>
      </c>
      <c r="B47" t="s">
        <v>68</v>
      </c>
      <c r="C47">
        <v>3</v>
      </c>
      <c r="D47" t="s">
        <v>117</v>
      </c>
      <c r="E47" t="s">
        <v>110</v>
      </c>
      <c r="F47" t="s">
        <v>82</v>
      </c>
      <c r="G47">
        <v>9</v>
      </c>
      <c r="H47">
        <v>0</v>
      </c>
      <c r="I47" t="str">
        <f>OutputTable[[#This Row],[ProjectName]]&amp;OutputTable[[#This Row],[Name]]&amp;OutputTable[[#This Row],[Type]]&amp;OutputTable[[#This Row],[Source]]</f>
        <v>Unnamed ProjectType2.NumberInNumber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11.3</v>
      </c>
      <c r="L47" cm="1">
        <f t="array" ref="L47">IFERROR(_xlfn.STDEV.S(IF((OutputTable[GroupByKey]=OutputTable[[#This Row],[GroupByKey]]),(OutputTable[GroupByKey]=OutputTable[[#This Row],[GroupByKey]])*OutputTable[RecordedValue])),0)</f>
        <v>1.7029386365926371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47" cm="1">
        <f t="array" ref="O47">MIN(IF((OutputTable[GroupByKey]=OutputTable[[#This Row],[GroupByKey]]),(OutputTable[GroupByKey]=OutputTable[[#This Row],[GroupByKey]])*OutputTable[RecordedValue]))</f>
        <v>9</v>
      </c>
      <c r="P47" cm="1">
        <f t="array" ref="P47">MAX(IF((OutputTable[GroupByKey]=OutputTable[[#This Row],[GroupByKey]]),(OutputTable[GroupByKey]=OutputTable[[#This Row],[GroupByKey]])*OutputTable[RecordedValue]))</f>
        <v>14</v>
      </c>
    </row>
    <row r="48" spans="1:16" x14ac:dyDescent="0.3">
      <c r="A48" t="s">
        <v>66</v>
      </c>
      <c r="B48" t="s">
        <v>68</v>
      </c>
      <c r="C48">
        <v>3</v>
      </c>
      <c r="D48" t="s">
        <v>118</v>
      </c>
      <c r="E48" t="s">
        <v>112</v>
      </c>
      <c r="F48" t="s">
        <v>82</v>
      </c>
      <c r="G48">
        <v>8</v>
      </c>
      <c r="H48">
        <v>0</v>
      </c>
      <c r="I48" t="str">
        <f>OutputTable[[#This Row],[ProjectName]]&amp;OutputTable[[#This Row],[Name]]&amp;OutputTable[[#This Row],[Type]]&amp;OutputTable[[#This Row],[Source]]</f>
        <v>Unnamed ProjectType2.NumberOutNumber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9.1</v>
      </c>
      <c r="L48" cm="1">
        <f t="array" ref="L48">IFERROR(_xlfn.STDEV.S(IF((OutputTable[GroupByKey]=OutputTable[[#This Row],[GroupByKey]]),(OutputTable[GroupByKey]=OutputTable[[#This Row],[GroupByKey]])*OutputTable[RecordedValue])),0)</f>
        <v>1.3703203194062967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48" cm="1">
        <f t="array" ref="O48">MIN(IF((OutputTable[GroupByKey]=OutputTable[[#This Row],[GroupByKey]]),(OutputTable[GroupByKey]=OutputTable[[#This Row],[GroupByKey]])*OutputTable[RecordedValue]))</f>
        <v>7</v>
      </c>
      <c r="P48" cm="1">
        <f t="array" ref="P48">MAX(IF((OutputTable[GroupByKey]=OutputTable[[#This Row],[GroupByKey]]),(OutputTable[GroupByKey]=OutputTable[[#This Row],[GroupByKey]])*OutputTable[RecordedValue]))</f>
        <v>12</v>
      </c>
    </row>
    <row r="49" spans="1:16" x14ac:dyDescent="0.3">
      <c r="A49" t="s">
        <v>66</v>
      </c>
      <c r="B49" t="s">
        <v>68</v>
      </c>
      <c r="C49">
        <v>3</v>
      </c>
      <c r="D49" t="s">
        <v>119</v>
      </c>
      <c r="E49" t="s">
        <v>110</v>
      </c>
      <c r="F49" t="s">
        <v>82</v>
      </c>
      <c r="G49">
        <v>13</v>
      </c>
      <c r="H49">
        <v>0</v>
      </c>
      <c r="I49" t="str">
        <f>OutputTable[[#This Row],[ProjectName]]&amp;OutputTable[[#This Row],[Name]]&amp;OutputTable[[#This Row],[Type]]&amp;OutputTable[[#This Row],[Source]]</f>
        <v>Unnamed ProjectType3.NumberInNumber InEntity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12.7</v>
      </c>
      <c r="L49" cm="1">
        <f t="array" ref="L49">IFERROR(_xlfn.STDEV.S(IF((OutputTable[GroupByKey]=OutputTable[[#This Row],[GroupByKey]]),(OutputTable[GroupByKey]=OutputTable[[#This Row],[GroupByKey]])*OutputTable[RecordedValue])),0)</f>
        <v>2.7507574714370326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49" cm="1">
        <f t="array" ref="O49">MIN(IF((OutputTable[GroupByKey]=OutputTable[[#This Row],[GroupByKey]]),(OutputTable[GroupByKey]=OutputTable[[#This Row],[GroupByKey]])*OutputTable[RecordedValue]))</f>
        <v>8</v>
      </c>
      <c r="P49" cm="1">
        <f t="array" ref="P49">MAX(IF((OutputTable[GroupByKey]=OutputTable[[#This Row],[GroupByKey]]),(OutputTable[GroupByKey]=OutputTable[[#This Row],[GroupByKey]])*OutputTable[RecordedValue]))</f>
        <v>17</v>
      </c>
    </row>
    <row r="50" spans="1:16" x14ac:dyDescent="0.3">
      <c r="A50" t="s">
        <v>66</v>
      </c>
      <c r="B50" t="s">
        <v>68</v>
      </c>
      <c r="C50">
        <v>3</v>
      </c>
      <c r="D50" t="s">
        <v>120</v>
      </c>
      <c r="E50" t="s">
        <v>112</v>
      </c>
      <c r="F50" t="s">
        <v>82</v>
      </c>
      <c r="G50">
        <v>10</v>
      </c>
      <c r="H50">
        <v>0</v>
      </c>
      <c r="I50" t="str">
        <f>OutputTable[[#This Row],[ProjectName]]&amp;OutputTable[[#This Row],[Name]]&amp;OutputTable[[#This Row],[Type]]&amp;OutputTable[[#This Row],[Source]]</f>
        <v>Unnamed ProjectType3.NumberOutNumber OutEntity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11</v>
      </c>
      <c r="L50" cm="1">
        <f t="array" ref="L50">IFERROR(_xlfn.STDEV.S(IF((OutputTable[GroupByKey]=OutputTable[[#This Row],[GroupByKey]]),(OutputTable[GroupByKey]=OutputTable[[#This Row],[GroupByKey]])*OutputTable[RecordedValue])),0)</f>
        <v>2.1081851067789197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50" cm="1">
        <f t="array" ref="O50">MIN(IF((OutputTable[GroupByKey]=OutputTable[[#This Row],[GroupByKey]]),(OutputTable[GroupByKey]=OutputTable[[#This Row],[GroupByKey]])*OutputTable[RecordedValue]))</f>
        <v>8</v>
      </c>
      <c r="P50" cm="1">
        <f t="array" ref="P50">MAX(IF((OutputTable[GroupByKey]=OutputTable[[#This Row],[GroupByKey]]),(OutputTable[GroupByKey]=OutputTable[[#This Row],[GroupByKey]])*OutputTable[RecordedValue]))</f>
        <v>14</v>
      </c>
    </row>
    <row r="51" spans="1:16" x14ac:dyDescent="0.3">
      <c r="A51" t="s">
        <v>66</v>
      </c>
      <c r="B51" t="s">
        <v>68</v>
      </c>
      <c r="C51">
        <v>3</v>
      </c>
      <c r="D51" t="s">
        <v>121</v>
      </c>
      <c r="E51" t="s">
        <v>110</v>
      </c>
      <c r="F51" t="s">
        <v>82</v>
      </c>
      <c r="G51">
        <v>12</v>
      </c>
      <c r="H51">
        <v>0</v>
      </c>
      <c r="I51" t="str">
        <f>OutputTable[[#This Row],[ProjectName]]&amp;OutputTable[[#This Row],[Name]]&amp;OutputTable[[#This Row],[Type]]&amp;OutputTable[[#This Row],[Source]]</f>
        <v>Unnamed ProjectType4.NumberInNumber InEntity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12.5</v>
      </c>
      <c r="L51" cm="1">
        <f t="array" ref="L51">IFERROR(_xlfn.STDEV.S(IF((OutputTable[GroupByKey]=OutputTable[[#This Row],[GroupByKey]]),(OutputTable[GroupByKey]=OutputTable[[#This Row],[GroupByKey]])*OutputTable[RecordedValue])),0)</f>
        <v>2.2730302828309759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51" cm="1">
        <f t="array" ref="O51">MIN(IF((OutputTable[GroupByKey]=OutputTable[[#This Row],[GroupByKey]]),(OutputTable[GroupByKey]=OutputTable[[#This Row],[GroupByKey]])*OutputTable[RecordedValue]))</f>
        <v>9</v>
      </c>
      <c r="P51" cm="1">
        <f t="array" ref="P51">MAX(IF((OutputTable[GroupByKey]=OutputTable[[#This Row],[GroupByKey]]),(OutputTable[GroupByKey]=OutputTable[[#This Row],[GroupByKey]])*OutputTable[RecordedValue]))</f>
        <v>16</v>
      </c>
    </row>
    <row r="52" spans="1:16" x14ac:dyDescent="0.3">
      <c r="A52" t="s">
        <v>66</v>
      </c>
      <c r="B52" t="s">
        <v>68</v>
      </c>
      <c r="C52">
        <v>3</v>
      </c>
      <c r="D52" t="s">
        <v>122</v>
      </c>
      <c r="E52" t="s">
        <v>112</v>
      </c>
      <c r="F52" t="s">
        <v>82</v>
      </c>
      <c r="G52">
        <v>12</v>
      </c>
      <c r="H52">
        <v>0</v>
      </c>
      <c r="I52" t="str">
        <f>OutputTable[[#This Row],[ProjectName]]&amp;OutputTable[[#This Row],[Name]]&amp;OutputTable[[#This Row],[Type]]&amp;OutputTable[[#This Row],[Source]]</f>
        <v>Unnamed ProjectType4.NumberOutNumber OutEntity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11.4</v>
      </c>
      <c r="L52" cm="1">
        <f t="array" ref="L52">IFERROR(_xlfn.STDEV.S(IF((OutputTable[GroupByKey]=OutputTable[[#This Row],[GroupByKey]]),(OutputTable[GroupByKey]=OutputTable[[#This Row],[GroupByKey]])*OutputTable[RecordedValue])),0)</f>
        <v>1.8378731669453656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52" cm="1">
        <f t="array" ref="O52">MIN(IF((OutputTable[GroupByKey]=OutputTable[[#This Row],[GroupByKey]]),(OutputTable[GroupByKey]=OutputTable[[#This Row],[GroupByKey]])*OutputTable[RecordedValue]))</f>
        <v>8</v>
      </c>
      <c r="P52" cm="1">
        <f t="array" ref="P52">MAX(IF((OutputTable[GroupByKey]=OutputTable[[#This Row],[GroupByKey]]),(OutputTable[GroupByKey]=OutputTable[[#This Row],[GroupByKey]])*OutputTable[RecordedValue]))</f>
        <v>14</v>
      </c>
    </row>
    <row r="53" spans="1:16" x14ac:dyDescent="0.3">
      <c r="A53" t="s">
        <v>66</v>
      </c>
      <c r="B53" t="s">
        <v>68</v>
      </c>
      <c r="C53">
        <v>4</v>
      </c>
      <c r="D53" t="s">
        <v>101</v>
      </c>
      <c r="E53" t="s">
        <v>102</v>
      </c>
      <c r="F53" t="s">
        <v>93</v>
      </c>
      <c r="G53">
        <v>36</v>
      </c>
      <c r="H53">
        <v>0</v>
      </c>
      <c r="I53" t="str">
        <f>OutputTable[[#This Row],[ProjectName]]&amp;OutputTable[[#This Row],[Name]]&amp;OutputTable[[#This Row],[Type]]&amp;OutputTable[[#This Row],[Source]]</f>
        <v>Unnamed ProjectMachine A.NumberSeizedTotal Number SeizedResource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35</v>
      </c>
      <c r="L53" cm="1">
        <f t="array" ref="L53">IFERROR(_xlfn.STDEV.S(IF((OutputTable[GroupByKey]=OutputTable[[#This Row],[GroupByKey]]),(OutputTable[GroupByKey]=OutputTable[[#This Row],[GroupByKey]])*OutputTable[RecordedValue])),0)</f>
        <v>1.7638342073763937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53" cm="1">
        <f t="array" ref="O53">MIN(IF((OutputTable[GroupByKey]=OutputTable[[#This Row],[GroupByKey]]),(OutputTable[GroupByKey]=OutputTable[[#This Row],[GroupByKey]])*OutputTable[RecordedValue]))</f>
        <v>32</v>
      </c>
      <c r="P53" cm="1">
        <f t="array" ref="P53">MAX(IF((OutputTable[GroupByKey]=OutputTable[[#This Row],[GroupByKey]]),(OutputTable[GroupByKey]=OutputTable[[#This Row],[GroupByKey]])*OutputTable[RecordedValue]))</f>
        <v>37</v>
      </c>
    </row>
    <row r="54" spans="1:16" x14ac:dyDescent="0.3">
      <c r="A54" t="s">
        <v>66</v>
      </c>
      <c r="B54" t="s">
        <v>68</v>
      </c>
      <c r="C54">
        <v>4</v>
      </c>
      <c r="D54" t="s">
        <v>103</v>
      </c>
      <c r="E54" t="s">
        <v>104</v>
      </c>
      <c r="F54" t="s">
        <v>93</v>
      </c>
      <c r="G54">
        <v>0.85168346880996104</v>
      </c>
      <c r="H54">
        <v>0</v>
      </c>
      <c r="I54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0.83106107177752264</v>
      </c>
      <c r="L54" cm="1">
        <f t="array" ref="L54">IFERROR(_xlfn.STDEV.S(IF((OutputTable[GroupByKey]=OutputTable[[#This Row],[GroupByKey]]),(OutputTable[GroupByKey]=OutputTable[[#This Row],[GroupByKey]])*OutputTable[RecordedValue])),0)</f>
        <v>6.4548027001173278E-2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54" cm="1">
        <f t="array" ref="O54">MIN(IF((OutputTable[GroupByKey]=OutputTable[[#This Row],[GroupByKey]]),(OutputTable[GroupByKey]=OutputTable[[#This Row],[GroupByKey]])*OutputTable[RecordedValue]))</f>
        <v>0.70923148168898098</v>
      </c>
      <c r="P54" cm="1">
        <f t="array" ref="P54">MAX(IF((OutputTable[GroupByKey]=OutputTable[[#This Row],[GroupByKey]]),(OutputTable[GroupByKey]=OutputTable[[#This Row],[GroupByKey]])*OutputTable[RecordedValue]))</f>
        <v>0.92513911074198196</v>
      </c>
    </row>
    <row r="55" spans="1:16" x14ac:dyDescent="0.3">
      <c r="A55" t="s">
        <v>66</v>
      </c>
      <c r="B55" t="s">
        <v>68</v>
      </c>
      <c r="C55">
        <v>4</v>
      </c>
      <c r="D55" t="s">
        <v>105</v>
      </c>
      <c r="E55" t="s">
        <v>102</v>
      </c>
      <c r="F55" t="s">
        <v>93</v>
      </c>
      <c r="G55">
        <v>30</v>
      </c>
      <c r="H55">
        <v>0</v>
      </c>
      <c r="I55" t="str">
        <f>OutputTable[[#This Row],[ProjectName]]&amp;OutputTable[[#This Row],[Name]]&amp;OutputTable[[#This Row],[Type]]&amp;OutputTable[[#This Row],[Source]]</f>
        <v>Unnamed ProjectMachine B.NumberSeizedTotal Number SeizedResource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33.4</v>
      </c>
      <c r="L55" cm="1">
        <f t="array" ref="L55">IFERROR(_xlfn.STDEV.S(IF((OutputTable[GroupByKey]=OutputTable[[#This Row],[GroupByKey]]),(OutputTable[GroupByKey]=OutputTable[[#This Row],[GroupByKey]])*OutputTable[RecordedValue])),0)</f>
        <v>2.5905812303633931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55" cm="1">
        <f t="array" ref="O55">MIN(IF((OutputTable[GroupByKey]=OutputTable[[#This Row],[GroupByKey]]),(OutputTable[GroupByKey]=OutputTable[[#This Row],[GroupByKey]])*OutputTable[RecordedValue]))</f>
        <v>29</v>
      </c>
      <c r="P55" cm="1">
        <f t="array" ref="P55">MAX(IF((OutputTable[GroupByKey]=OutputTable[[#This Row],[GroupByKey]]),(OutputTable[GroupByKey]=OutputTable[[#This Row],[GroupByKey]])*OutputTable[RecordedValue]))</f>
        <v>37</v>
      </c>
    </row>
    <row r="56" spans="1:16" x14ac:dyDescent="0.3">
      <c r="A56" t="s">
        <v>66</v>
      </c>
      <c r="B56" t="s">
        <v>68</v>
      </c>
      <c r="C56">
        <v>4</v>
      </c>
      <c r="D56" t="s">
        <v>106</v>
      </c>
      <c r="E56" t="s">
        <v>104</v>
      </c>
      <c r="F56" t="s">
        <v>93</v>
      </c>
      <c r="G56">
        <v>0.803390977632918</v>
      </c>
      <c r="H56">
        <v>0</v>
      </c>
      <c r="I56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0.84520971658291411</v>
      </c>
      <c r="L56" cm="1">
        <f t="array" ref="L56">IFERROR(_xlfn.STDEV.S(IF((OutputTable[GroupByKey]=OutputTable[[#This Row],[GroupByKey]]),(OutputTable[GroupByKey]=OutputTable[[#This Row],[GroupByKey]])*OutputTable[RecordedValue])),0)</f>
        <v>6.1226598287413884E-2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56" cm="1">
        <f t="array" ref="O56">MIN(IF((OutputTable[GroupByKey]=OutputTable[[#This Row],[GroupByKey]]),(OutputTable[GroupByKey]=OutputTable[[#This Row],[GroupByKey]])*OutputTable[RecordedValue]))</f>
        <v>0.71728584076343305</v>
      </c>
      <c r="P56" cm="1">
        <f t="array" ref="P56">MAX(IF((OutputTable[GroupByKey]=OutputTable[[#This Row],[GroupByKey]]),(OutputTable[GroupByKey]=OutputTable[[#This Row],[GroupByKey]])*OutputTable[RecordedValue]))</f>
        <v>0.91938608785018705</v>
      </c>
    </row>
    <row r="57" spans="1:16" x14ac:dyDescent="0.3">
      <c r="A57" t="s">
        <v>66</v>
      </c>
      <c r="B57" t="s">
        <v>68</v>
      </c>
      <c r="C57">
        <v>4</v>
      </c>
      <c r="D57" t="s">
        <v>107</v>
      </c>
      <c r="E57" t="s">
        <v>102</v>
      </c>
      <c r="F57" t="s">
        <v>93</v>
      </c>
      <c r="G57">
        <v>34</v>
      </c>
      <c r="H57">
        <v>0</v>
      </c>
      <c r="I57" t="str">
        <f>OutputTable[[#This Row],[ProjectName]]&amp;OutputTable[[#This Row],[Name]]&amp;OutputTable[[#This Row],[Type]]&amp;OutputTable[[#This Row],[Source]]</f>
        <v>Unnamed ProjectMachine C.NumberSeizedTotal Number SeizedResource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32.6</v>
      </c>
      <c r="L57" cm="1">
        <f t="array" ref="L57">IFERROR(_xlfn.STDEV.S(IF((OutputTable[GroupByKey]=OutputTable[[#This Row],[GroupByKey]]),(OutputTable[GroupByKey]=OutputTable[[#This Row],[GroupByKey]])*OutputTable[RecordedValue])),0)</f>
        <v>2.5473297566057069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57" cm="1">
        <f t="array" ref="O57">MIN(IF((OutputTable[GroupByKey]=OutputTable[[#This Row],[GroupByKey]]),(OutputTable[GroupByKey]=OutputTable[[#This Row],[GroupByKey]])*OutputTable[RecordedValue]))</f>
        <v>29</v>
      </c>
      <c r="P57" cm="1">
        <f t="array" ref="P57">MAX(IF((OutputTable[GroupByKey]=OutputTable[[#This Row],[GroupByKey]]),(OutputTable[GroupByKey]=OutputTable[[#This Row],[GroupByKey]])*OutputTable[RecordedValue]))</f>
        <v>37</v>
      </c>
    </row>
    <row r="58" spans="1:16" x14ac:dyDescent="0.3">
      <c r="A58" t="s">
        <v>66</v>
      </c>
      <c r="B58" t="s">
        <v>68</v>
      </c>
      <c r="C58">
        <v>4</v>
      </c>
      <c r="D58" t="s">
        <v>108</v>
      </c>
      <c r="E58" t="s">
        <v>104</v>
      </c>
      <c r="F58" t="s">
        <v>93</v>
      </c>
      <c r="G58">
        <v>0.86241316352317199</v>
      </c>
      <c r="H58">
        <v>0</v>
      </c>
      <c r="I58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0.77733493379426299</v>
      </c>
      <c r="L58" cm="1">
        <f t="array" ref="L58">IFERROR(_xlfn.STDEV.S(IF((OutputTable[GroupByKey]=OutputTable[[#This Row],[GroupByKey]]),(OutputTable[GroupByKey]=OutputTable[[#This Row],[GroupByKey]])*OutputTable[RecordedValue])),0)</f>
        <v>6.75490523663973E-2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58" cm="1">
        <f t="array" ref="O58">MIN(IF((OutputTable[GroupByKey]=OutputTable[[#This Row],[GroupByKey]]),(OutputTable[GroupByKey]=OutputTable[[#This Row],[GroupByKey]])*OutputTable[RecordedValue]))</f>
        <v>0.69586636126078405</v>
      </c>
      <c r="P58" cm="1">
        <f t="array" ref="P58">MAX(IF((OutputTable[GroupByKey]=OutputTable[[#This Row],[GroupByKey]]),(OutputTable[GroupByKey]=OutputTable[[#This Row],[GroupByKey]])*OutputTable[RecordedValue]))</f>
        <v>0.89372434220669095</v>
      </c>
    </row>
    <row r="59" spans="1:16" x14ac:dyDescent="0.3">
      <c r="A59" t="s">
        <v>66</v>
      </c>
      <c r="B59" t="s">
        <v>68</v>
      </c>
      <c r="C59">
        <v>4</v>
      </c>
      <c r="D59" t="s">
        <v>109</v>
      </c>
      <c r="E59" t="s">
        <v>110</v>
      </c>
      <c r="F59" t="s">
        <v>82</v>
      </c>
      <c r="G59">
        <v>49</v>
      </c>
      <c r="H59">
        <v>0</v>
      </c>
      <c r="I59" t="str">
        <f>OutputTable[[#This Row],[ProjectName]]&amp;OutputTable[[#This Row],[Name]]&amp;OutputTable[[#This Row],[Type]]&amp;OutputTable[[#This Row],[Source]]</f>
        <v>Unnamed ProjectPiece.NumberInNumber InEntity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49</v>
      </c>
      <c r="L59" cm="1">
        <f t="array" ref="L59">IFERROR(_xlfn.STDEV.S(IF((OutputTable[GroupByKey]=OutputTable[[#This Row],[GroupByKey]]),(OutputTable[GroupByKey]=OutputTable[[#This Row],[GroupByKey]])*OutputTable[RecordedValue])),0)</f>
        <v>0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" cm="1">
        <f t="array" ref="O59">MIN(IF((OutputTable[GroupByKey]=OutputTable[[#This Row],[GroupByKey]]),(OutputTable[GroupByKey]=OutputTable[[#This Row],[GroupByKey]])*OutputTable[RecordedValue]))</f>
        <v>49</v>
      </c>
      <c r="P59" cm="1">
        <f t="array" ref="P59">MAX(IF((OutputTable[GroupByKey]=OutputTable[[#This Row],[GroupByKey]]),(OutputTable[GroupByKey]=OutputTable[[#This Row],[GroupByKey]])*OutputTable[RecordedValue]))</f>
        <v>49</v>
      </c>
    </row>
    <row r="60" spans="1:16" x14ac:dyDescent="0.3">
      <c r="A60" t="s">
        <v>66</v>
      </c>
      <c r="B60" t="s">
        <v>68</v>
      </c>
      <c r="C60">
        <v>4</v>
      </c>
      <c r="D60" t="s">
        <v>111</v>
      </c>
      <c r="E60" t="s">
        <v>112</v>
      </c>
      <c r="F60" t="s">
        <v>82</v>
      </c>
      <c r="G60">
        <v>49</v>
      </c>
      <c r="H60">
        <v>0</v>
      </c>
      <c r="I60" t="str">
        <f>OutputTable[[#This Row],[ProjectName]]&amp;OutputTable[[#This Row],[Name]]&amp;OutputTable[[#This Row],[Type]]&amp;OutputTable[[#This Row],[Source]]</f>
        <v>Unnamed ProjectPiece.NumberOutNumber OutEntity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49</v>
      </c>
      <c r="L60" cm="1">
        <f t="array" ref="L60">IFERROR(_xlfn.STDEV.S(IF((OutputTable[GroupByKey]=OutputTable[[#This Row],[GroupByKey]]),(OutputTable[GroupByKey]=OutputTable[[#This Row],[GroupByKey]])*OutputTable[RecordedValue])),0)</f>
        <v>0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" cm="1">
        <f t="array" ref="O60">MIN(IF((OutputTable[GroupByKey]=OutputTable[[#This Row],[GroupByKey]]),(OutputTable[GroupByKey]=OutputTable[[#This Row],[GroupByKey]])*OutputTable[RecordedValue]))</f>
        <v>49</v>
      </c>
      <c r="P60" cm="1">
        <f t="array" ref="P60">MAX(IF((OutputTable[GroupByKey]=OutputTable[[#This Row],[GroupByKey]]),(OutputTable[GroupByKey]=OutputTable[[#This Row],[GroupByKey]])*OutputTable[RecordedValue]))</f>
        <v>49</v>
      </c>
    </row>
    <row r="61" spans="1:16" x14ac:dyDescent="0.3">
      <c r="A61" t="s">
        <v>66</v>
      </c>
      <c r="B61" t="s">
        <v>68</v>
      </c>
      <c r="C61">
        <v>4</v>
      </c>
      <c r="D61" t="s">
        <v>113</v>
      </c>
      <c r="E61" t="s">
        <v>112</v>
      </c>
      <c r="F61" t="s">
        <v>114</v>
      </c>
      <c r="G61">
        <v>43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42.6</v>
      </c>
      <c r="L61" cm="1">
        <f t="array" ref="L61">IFERROR(_xlfn.STDEV.S(IF((OutputTable[GroupByKey]=OutputTable[[#This Row],[GroupByKey]]),(OutputTable[GroupByKey]=OutputTable[[#This Row],[GroupByKey]])*OutputTable[RecordedValue])),0)</f>
        <v>1.0749676997731399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61" cm="1">
        <f t="array" ref="O61">MIN(IF((OutputTable[GroupByKey]=OutputTable[[#This Row],[GroupByKey]]),(OutputTable[GroupByKey]=OutputTable[[#This Row],[GroupByKey]])*OutputTable[RecordedValue]))</f>
        <v>41</v>
      </c>
      <c r="P61" cm="1">
        <f t="array" ref="P61">MAX(IF((OutputTable[GroupByKey]=OutputTable[[#This Row],[GroupByKey]]),(OutputTable[GroupByKey]=OutputTable[[#This Row],[GroupByKey]])*OutputTable[RecordedValue]))</f>
        <v>44</v>
      </c>
    </row>
    <row r="62" spans="1:16" x14ac:dyDescent="0.3">
      <c r="A62" t="s">
        <v>66</v>
      </c>
      <c r="B62" t="s">
        <v>68</v>
      </c>
      <c r="C62">
        <v>4</v>
      </c>
      <c r="D62" t="s">
        <v>115</v>
      </c>
      <c r="E62" t="s">
        <v>110</v>
      </c>
      <c r="F62" t="s">
        <v>82</v>
      </c>
      <c r="G62">
        <v>15</v>
      </c>
      <c r="H62">
        <v>0</v>
      </c>
      <c r="I62" t="str">
        <f>OutputTable[[#This Row],[ProjectName]]&amp;OutputTable[[#This Row],[Name]]&amp;OutputTable[[#This Row],[Type]]&amp;OutputTable[[#This Row],[Source]]</f>
        <v>Unnamed ProjectType1.NumberInNumber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12.5</v>
      </c>
      <c r="L62" cm="1">
        <f t="array" ref="L62">IFERROR(_xlfn.STDEV.S(IF((OutputTable[GroupByKey]=OutputTable[[#This Row],[GroupByKey]]),(OutputTable[GroupByKey]=OutputTable[[#This Row],[GroupByKey]])*OutputTable[RecordedValue])),0)</f>
        <v>2.9154759474226504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62" cm="1">
        <f t="array" ref="O62">MIN(IF((OutputTable[GroupByKey]=OutputTable[[#This Row],[GroupByKey]]),(OutputTable[GroupByKey]=OutputTable[[#This Row],[GroupByKey]])*OutputTable[RecordedValue]))</f>
        <v>9</v>
      </c>
      <c r="P62" cm="1">
        <f t="array" ref="P62">MAX(IF((OutputTable[GroupByKey]=OutputTable[[#This Row],[GroupByKey]]),(OutputTable[GroupByKey]=OutputTable[[#This Row],[GroupByKey]])*OutputTable[RecordedValue]))</f>
        <v>18</v>
      </c>
    </row>
    <row r="63" spans="1:16" x14ac:dyDescent="0.3">
      <c r="A63" t="s">
        <v>66</v>
      </c>
      <c r="B63" t="s">
        <v>68</v>
      </c>
      <c r="C63">
        <v>4</v>
      </c>
      <c r="D63" t="s">
        <v>116</v>
      </c>
      <c r="E63" t="s">
        <v>112</v>
      </c>
      <c r="F63" t="s">
        <v>82</v>
      </c>
      <c r="G63">
        <v>15</v>
      </c>
      <c r="H63">
        <v>0</v>
      </c>
      <c r="I63" t="str">
        <f>OutputTable[[#This Row],[ProjectName]]&amp;OutputTable[[#This Row],[Name]]&amp;OutputTable[[#This Row],[Type]]&amp;OutputTable[[#This Row],[Source]]</f>
        <v>Unnamed ProjectType1.NumberOutNumber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11.1</v>
      </c>
      <c r="L63" cm="1">
        <f t="array" ref="L63">IFERROR(_xlfn.STDEV.S(IF((OutputTable[GroupByKey]=OutputTable[[#This Row],[GroupByKey]]),(OutputTable[GroupByKey]=OutputTable[[#This Row],[GroupByKey]])*OutputTable[RecordedValue])),0)</f>
        <v>2.6436506745197819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63" cm="1">
        <f t="array" ref="O63">MIN(IF((OutputTable[GroupByKey]=OutputTable[[#This Row],[GroupByKey]]),(OutputTable[GroupByKey]=OutputTable[[#This Row],[GroupByKey]])*OutputTable[RecordedValue]))</f>
        <v>8</v>
      </c>
      <c r="P63" cm="1">
        <f t="array" ref="P63">MAX(IF((OutputTable[GroupByKey]=OutputTable[[#This Row],[GroupByKey]]),(OutputTable[GroupByKey]=OutputTable[[#This Row],[GroupByKey]])*OutputTable[RecordedValue]))</f>
        <v>16</v>
      </c>
    </row>
    <row r="64" spans="1:16" x14ac:dyDescent="0.3">
      <c r="A64" t="s">
        <v>66</v>
      </c>
      <c r="B64" t="s">
        <v>68</v>
      </c>
      <c r="C64">
        <v>4</v>
      </c>
      <c r="D64" t="s">
        <v>117</v>
      </c>
      <c r="E64" t="s">
        <v>110</v>
      </c>
      <c r="F64" t="s">
        <v>82</v>
      </c>
      <c r="G64">
        <v>12</v>
      </c>
      <c r="H64">
        <v>0</v>
      </c>
      <c r="I64" t="str">
        <f>OutputTable[[#This Row],[ProjectName]]&amp;OutputTable[[#This Row],[Name]]&amp;OutputTable[[#This Row],[Type]]&amp;OutputTable[[#This Row],[Source]]</f>
        <v>Unnamed ProjectType2.NumberInNumber InEntity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11.3</v>
      </c>
      <c r="L64" cm="1">
        <f t="array" ref="L64">IFERROR(_xlfn.STDEV.S(IF((OutputTable[GroupByKey]=OutputTable[[#This Row],[GroupByKey]]),(OutputTable[GroupByKey]=OutputTable[[#This Row],[GroupByKey]])*OutputTable[RecordedValue])),0)</f>
        <v>1.7029386365926371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64" cm="1">
        <f t="array" ref="O64">MIN(IF((OutputTable[GroupByKey]=OutputTable[[#This Row],[GroupByKey]]),(OutputTable[GroupByKey]=OutputTable[[#This Row],[GroupByKey]])*OutputTable[RecordedValue]))</f>
        <v>9</v>
      </c>
      <c r="P64" cm="1">
        <f t="array" ref="P64">MAX(IF((OutputTable[GroupByKey]=OutputTable[[#This Row],[GroupByKey]]),(OutputTable[GroupByKey]=OutputTable[[#This Row],[GroupByKey]])*OutputTable[RecordedValue]))</f>
        <v>14</v>
      </c>
    </row>
    <row r="65" spans="1:16" x14ac:dyDescent="0.3">
      <c r="A65" t="s">
        <v>66</v>
      </c>
      <c r="B65" t="s">
        <v>68</v>
      </c>
      <c r="C65">
        <v>4</v>
      </c>
      <c r="D65" t="s">
        <v>118</v>
      </c>
      <c r="E65" t="s">
        <v>112</v>
      </c>
      <c r="F65" t="s">
        <v>82</v>
      </c>
      <c r="G65">
        <v>7</v>
      </c>
      <c r="H65">
        <v>0</v>
      </c>
      <c r="I65" t="str">
        <f>OutputTable[[#This Row],[ProjectName]]&amp;OutputTable[[#This Row],[Name]]&amp;OutputTable[[#This Row],[Type]]&amp;OutputTable[[#This Row],[Source]]</f>
        <v>Unnamed ProjectType2.NumberOutNumber OutEntity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9.1</v>
      </c>
      <c r="L65" cm="1">
        <f t="array" ref="L65">IFERROR(_xlfn.STDEV.S(IF((OutputTable[GroupByKey]=OutputTable[[#This Row],[GroupByKey]]),(OutputTable[GroupByKey]=OutputTable[[#This Row],[GroupByKey]])*OutputTable[RecordedValue])),0)</f>
        <v>1.3703203194062967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65" cm="1">
        <f t="array" ref="O65">MIN(IF((OutputTable[GroupByKey]=OutputTable[[#This Row],[GroupByKey]]),(OutputTable[GroupByKey]=OutputTable[[#This Row],[GroupByKey]])*OutputTable[RecordedValue]))</f>
        <v>7</v>
      </c>
      <c r="P65" cm="1">
        <f t="array" ref="P65">MAX(IF((OutputTable[GroupByKey]=OutputTable[[#This Row],[GroupByKey]]),(OutputTable[GroupByKey]=OutputTable[[#This Row],[GroupByKey]])*OutputTable[RecordedValue]))</f>
        <v>12</v>
      </c>
    </row>
    <row r="66" spans="1:16" x14ac:dyDescent="0.3">
      <c r="A66" t="s">
        <v>66</v>
      </c>
      <c r="B66" t="s">
        <v>68</v>
      </c>
      <c r="C66">
        <v>4</v>
      </c>
      <c r="D66" t="s">
        <v>119</v>
      </c>
      <c r="E66" t="s">
        <v>110</v>
      </c>
      <c r="F66" t="s">
        <v>82</v>
      </c>
      <c r="G66">
        <v>11</v>
      </c>
      <c r="H66">
        <v>0</v>
      </c>
      <c r="I66" t="str">
        <f>OutputTable[[#This Row],[ProjectName]]&amp;OutputTable[[#This Row],[Name]]&amp;OutputTable[[#This Row],[Type]]&amp;OutputTable[[#This Row],[Source]]</f>
        <v>Unnamed ProjectType3.NumberInNumber InEntity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12.7</v>
      </c>
      <c r="L66" cm="1">
        <f t="array" ref="L66">IFERROR(_xlfn.STDEV.S(IF((OutputTable[GroupByKey]=OutputTable[[#This Row],[GroupByKey]]),(OutputTable[GroupByKey]=OutputTable[[#This Row],[GroupByKey]])*OutputTable[RecordedValue])),0)</f>
        <v>2.7507574714370326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66" cm="1">
        <f t="array" ref="O66">MIN(IF((OutputTable[GroupByKey]=OutputTable[[#This Row],[GroupByKey]]),(OutputTable[GroupByKey]=OutputTable[[#This Row],[GroupByKey]])*OutputTable[RecordedValue]))</f>
        <v>8</v>
      </c>
      <c r="P66" cm="1">
        <f t="array" ref="P66">MAX(IF((OutputTable[GroupByKey]=OutputTable[[#This Row],[GroupByKey]]),(OutputTable[GroupByKey]=OutputTable[[#This Row],[GroupByKey]])*OutputTable[RecordedValue]))</f>
        <v>17</v>
      </c>
    </row>
    <row r="67" spans="1:16" x14ac:dyDescent="0.3">
      <c r="A67" t="s">
        <v>66</v>
      </c>
      <c r="B67" t="s">
        <v>68</v>
      </c>
      <c r="C67">
        <v>4</v>
      </c>
      <c r="D67" t="s">
        <v>120</v>
      </c>
      <c r="E67" t="s">
        <v>112</v>
      </c>
      <c r="F67" t="s">
        <v>82</v>
      </c>
      <c r="G67">
        <v>10</v>
      </c>
      <c r="H67">
        <v>0</v>
      </c>
      <c r="I67" t="str">
        <f>OutputTable[[#This Row],[ProjectName]]&amp;OutputTable[[#This Row],[Name]]&amp;OutputTable[[#This Row],[Type]]&amp;OutputTable[[#This Row],[Source]]</f>
        <v>Unnamed ProjectType3.NumberOutNumber OutEntity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11</v>
      </c>
      <c r="L67" cm="1">
        <f t="array" ref="L67">IFERROR(_xlfn.STDEV.S(IF((OutputTable[GroupByKey]=OutputTable[[#This Row],[GroupByKey]]),(OutputTable[GroupByKey]=OutputTable[[#This Row],[GroupByKey]])*OutputTable[RecordedValue])),0)</f>
        <v>2.1081851067789197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67" cm="1">
        <f t="array" ref="O67">MIN(IF((OutputTable[GroupByKey]=OutputTable[[#This Row],[GroupByKey]]),(OutputTable[GroupByKey]=OutputTable[[#This Row],[GroupByKey]])*OutputTable[RecordedValue]))</f>
        <v>8</v>
      </c>
      <c r="P67" cm="1">
        <f t="array" ref="P67">MAX(IF((OutputTable[GroupByKey]=OutputTable[[#This Row],[GroupByKey]]),(OutputTable[GroupByKey]=OutputTable[[#This Row],[GroupByKey]])*OutputTable[RecordedValue]))</f>
        <v>14</v>
      </c>
    </row>
    <row r="68" spans="1:16" x14ac:dyDescent="0.3">
      <c r="A68" t="s">
        <v>66</v>
      </c>
      <c r="B68" t="s">
        <v>68</v>
      </c>
      <c r="C68">
        <v>4</v>
      </c>
      <c r="D68" t="s">
        <v>121</v>
      </c>
      <c r="E68" t="s">
        <v>110</v>
      </c>
      <c r="F68" t="s">
        <v>82</v>
      </c>
      <c r="G68">
        <v>11</v>
      </c>
      <c r="H68">
        <v>0</v>
      </c>
      <c r="I68" t="str">
        <f>OutputTable[[#This Row],[ProjectName]]&amp;OutputTable[[#This Row],[Name]]&amp;OutputTable[[#This Row],[Type]]&amp;OutputTable[[#This Row],[Source]]</f>
        <v>Unnamed ProjectType4.NumberInNumber InEntity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12.5</v>
      </c>
      <c r="L68" cm="1">
        <f t="array" ref="L68">IFERROR(_xlfn.STDEV.S(IF((OutputTable[GroupByKey]=OutputTable[[#This Row],[GroupByKey]]),(OutputTable[GroupByKey]=OutputTable[[#This Row],[GroupByKey]])*OutputTable[RecordedValue])),0)</f>
        <v>2.2730302828309759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68" cm="1">
        <f t="array" ref="O68">MIN(IF((OutputTable[GroupByKey]=OutputTable[[#This Row],[GroupByKey]]),(OutputTable[GroupByKey]=OutputTable[[#This Row],[GroupByKey]])*OutputTable[RecordedValue]))</f>
        <v>9</v>
      </c>
      <c r="P68" cm="1">
        <f t="array" ref="P68">MAX(IF((OutputTable[GroupByKey]=OutputTable[[#This Row],[GroupByKey]]),(OutputTable[GroupByKey]=OutputTable[[#This Row],[GroupByKey]])*OutputTable[RecordedValue]))</f>
        <v>16</v>
      </c>
    </row>
    <row r="69" spans="1:16" x14ac:dyDescent="0.3">
      <c r="A69" t="s">
        <v>66</v>
      </c>
      <c r="B69" t="s">
        <v>68</v>
      </c>
      <c r="C69">
        <v>4</v>
      </c>
      <c r="D69" t="s">
        <v>122</v>
      </c>
      <c r="E69" t="s">
        <v>112</v>
      </c>
      <c r="F69" t="s">
        <v>82</v>
      </c>
      <c r="G69">
        <v>11</v>
      </c>
      <c r="H69">
        <v>0</v>
      </c>
      <c r="I69" t="str">
        <f>OutputTable[[#This Row],[ProjectName]]&amp;OutputTable[[#This Row],[Name]]&amp;OutputTable[[#This Row],[Type]]&amp;OutputTable[[#This Row],[Source]]</f>
        <v>Unnamed ProjectType4.NumberOutNumber OutEntity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11.4</v>
      </c>
      <c r="L69" cm="1">
        <f t="array" ref="L69">IFERROR(_xlfn.STDEV.S(IF((OutputTable[GroupByKey]=OutputTable[[#This Row],[GroupByKey]]),(OutputTable[GroupByKey]=OutputTable[[#This Row],[GroupByKey]])*OutputTable[RecordedValue])),0)</f>
        <v>1.8378731669453656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69" cm="1">
        <f t="array" ref="O69">MIN(IF((OutputTable[GroupByKey]=OutputTable[[#This Row],[GroupByKey]]),(OutputTable[GroupByKey]=OutputTable[[#This Row],[GroupByKey]])*OutputTable[RecordedValue]))</f>
        <v>8</v>
      </c>
      <c r="P69" cm="1">
        <f t="array" ref="P69">MAX(IF((OutputTable[GroupByKey]=OutputTable[[#This Row],[GroupByKey]]),(OutputTable[GroupByKey]=OutputTable[[#This Row],[GroupByKey]])*OutputTable[RecordedValue]))</f>
        <v>14</v>
      </c>
    </row>
    <row r="70" spans="1:16" x14ac:dyDescent="0.3">
      <c r="A70" t="s">
        <v>66</v>
      </c>
      <c r="B70" t="s">
        <v>68</v>
      </c>
      <c r="C70">
        <v>5</v>
      </c>
      <c r="D70" t="s">
        <v>101</v>
      </c>
      <c r="E70" t="s">
        <v>102</v>
      </c>
      <c r="F70" t="s">
        <v>93</v>
      </c>
      <c r="G70">
        <v>33</v>
      </c>
      <c r="H70">
        <v>0</v>
      </c>
      <c r="I70" t="str">
        <f>OutputTable[[#This Row],[ProjectName]]&amp;OutputTable[[#This Row],[Name]]&amp;OutputTable[[#This Row],[Type]]&amp;OutputTable[[#This Row],[Source]]</f>
        <v>Unnamed ProjectMachine A.NumberSeizedTotal Number SeizedResource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35</v>
      </c>
      <c r="L70" cm="1">
        <f t="array" ref="L70">IFERROR(_xlfn.STDEV.S(IF((OutputTable[GroupByKey]=OutputTable[[#This Row],[GroupByKey]]),(OutputTable[GroupByKey]=OutputTable[[#This Row],[GroupByKey]])*OutputTable[RecordedValue])),0)</f>
        <v>1.7638342073763937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70" cm="1">
        <f t="array" ref="O70">MIN(IF((OutputTable[GroupByKey]=OutputTable[[#This Row],[GroupByKey]]),(OutputTable[GroupByKey]=OutputTable[[#This Row],[GroupByKey]])*OutputTable[RecordedValue]))</f>
        <v>32</v>
      </c>
      <c r="P70" cm="1">
        <f t="array" ref="P70">MAX(IF((OutputTable[GroupByKey]=OutputTable[[#This Row],[GroupByKey]]),(OutputTable[GroupByKey]=OutputTable[[#This Row],[GroupByKey]])*OutputTable[RecordedValue]))</f>
        <v>37</v>
      </c>
    </row>
    <row r="71" spans="1:16" x14ac:dyDescent="0.3">
      <c r="A71" t="s">
        <v>66</v>
      </c>
      <c r="B71" t="s">
        <v>68</v>
      </c>
      <c r="C71">
        <v>5</v>
      </c>
      <c r="D71" t="s">
        <v>103</v>
      </c>
      <c r="E71" t="s">
        <v>104</v>
      </c>
      <c r="F71" t="s">
        <v>93</v>
      </c>
      <c r="G71">
        <v>0.70923148168898098</v>
      </c>
      <c r="H71">
        <v>0</v>
      </c>
      <c r="I71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0.83106107177752264</v>
      </c>
      <c r="L71" cm="1">
        <f t="array" ref="L71">IFERROR(_xlfn.STDEV.S(IF((OutputTable[GroupByKey]=OutputTable[[#This Row],[GroupByKey]]),(OutputTable[GroupByKey]=OutputTable[[#This Row],[GroupByKey]])*OutputTable[RecordedValue])),0)</f>
        <v>6.4548027001173278E-2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71" cm="1">
        <f t="array" ref="O71">MIN(IF((OutputTable[GroupByKey]=OutputTable[[#This Row],[GroupByKey]]),(OutputTable[GroupByKey]=OutputTable[[#This Row],[GroupByKey]])*OutputTable[RecordedValue]))</f>
        <v>0.70923148168898098</v>
      </c>
      <c r="P71" cm="1">
        <f t="array" ref="P71">MAX(IF((OutputTable[GroupByKey]=OutputTable[[#This Row],[GroupByKey]]),(OutputTable[GroupByKey]=OutputTable[[#This Row],[GroupByKey]])*OutputTable[RecordedValue]))</f>
        <v>0.92513911074198196</v>
      </c>
    </row>
    <row r="72" spans="1:16" x14ac:dyDescent="0.3">
      <c r="A72" t="s">
        <v>66</v>
      </c>
      <c r="B72" t="s">
        <v>68</v>
      </c>
      <c r="C72">
        <v>5</v>
      </c>
      <c r="D72" t="s">
        <v>105</v>
      </c>
      <c r="E72" t="s">
        <v>102</v>
      </c>
      <c r="F72" t="s">
        <v>93</v>
      </c>
      <c r="G72">
        <v>37</v>
      </c>
      <c r="H72">
        <v>0</v>
      </c>
      <c r="I72" t="str">
        <f>OutputTable[[#This Row],[ProjectName]]&amp;OutputTable[[#This Row],[Name]]&amp;OutputTable[[#This Row],[Type]]&amp;OutputTable[[#This Row],[Source]]</f>
        <v>Unnamed ProjectMachine B.NumberSeizedTotal Number SeizedResource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33.4</v>
      </c>
      <c r="L72" cm="1">
        <f t="array" ref="L72">IFERROR(_xlfn.STDEV.S(IF((OutputTable[GroupByKey]=OutputTable[[#This Row],[GroupByKey]]),(OutputTable[GroupByKey]=OutputTable[[#This Row],[GroupByKey]])*OutputTable[RecordedValue])),0)</f>
        <v>2.5905812303633931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72" cm="1">
        <f t="array" ref="O72">MIN(IF((OutputTable[GroupByKey]=OutputTable[[#This Row],[GroupByKey]]),(OutputTable[GroupByKey]=OutputTable[[#This Row],[GroupByKey]])*OutputTable[RecordedValue]))</f>
        <v>29</v>
      </c>
      <c r="P72" cm="1">
        <f t="array" ref="P72">MAX(IF((OutputTable[GroupByKey]=OutputTable[[#This Row],[GroupByKey]]),(OutputTable[GroupByKey]=OutputTable[[#This Row],[GroupByKey]])*OutputTable[RecordedValue]))</f>
        <v>37</v>
      </c>
    </row>
    <row r="73" spans="1:16" x14ac:dyDescent="0.3">
      <c r="A73" t="s">
        <v>66</v>
      </c>
      <c r="B73" t="s">
        <v>68</v>
      </c>
      <c r="C73">
        <v>5</v>
      </c>
      <c r="D73" t="s">
        <v>106</v>
      </c>
      <c r="E73" t="s">
        <v>104</v>
      </c>
      <c r="F73" t="s">
        <v>93</v>
      </c>
      <c r="G73">
        <v>0.91938608785018705</v>
      </c>
      <c r="H73">
        <v>0</v>
      </c>
      <c r="I73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0.84520971658291411</v>
      </c>
      <c r="L73" cm="1">
        <f t="array" ref="L73">IFERROR(_xlfn.STDEV.S(IF((OutputTable[GroupByKey]=OutputTable[[#This Row],[GroupByKey]]),(OutputTable[GroupByKey]=OutputTable[[#This Row],[GroupByKey]])*OutputTable[RecordedValue])),0)</f>
        <v>6.1226598287413884E-2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73" cm="1">
        <f t="array" ref="O73">MIN(IF((OutputTable[GroupByKey]=OutputTable[[#This Row],[GroupByKey]]),(OutputTable[GroupByKey]=OutputTable[[#This Row],[GroupByKey]])*OutputTable[RecordedValue]))</f>
        <v>0.71728584076343305</v>
      </c>
      <c r="P73" cm="1">
        <f t="array" ref="P73">MAX(IF((OutputTable[GroupByKey]=OutputTable[[#This Row],[GroupByKey]]),(OutputTable[GroupByKey]=OutputTable[[#This Row],[GroupByKey]])*OutputTable[RecordedValue]))</f>
        <v>0.91938608785018705</v>
      </c>
    </row>
    <row r="74" spans="1:16" x14ac:dyDescent="0.3">
      <c r="A74" t="s">
        <v>66</v>
      </c>
      <c r="B74" t="s">
        <v>68</v>
      </c>
      <c r="C74">
        <v>5</v>
      </c>
      <c r="D74" t="s">
        <v>107</v>
      </c>
      <c r="E74" t="s">
        <v>102</v>
      </c>
      <c r="F74" t="s">
        <v>93</v>
      </c>
      <c r="G74">
        <v>33</v>
      </c>
      <c r="H74">
        <v>0</v>
      </c>
      <c r="I74" t="str">
        <f>OutputTable[[#This Row],[ProjectName]]&amp;OutputTable[[#This Row],[Name]]&amp;OutputTable[[#This Row],[Type]]&amp;OutputTable[[#This Row],[Source]]</f>
        <v>Unnamed ProjectMachine C.NumberSeizedTotal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32.6</v>
      </c>
      <c r="L74" cm="1">
        <f t="array" ref="L74">IFERROR(_xlfn.STDEV.S(IF((OutputTable[GroupByKey]=OutputTable[[#This Row],[GroupByKey]]),(OutputTable[GroupByKey]=OutputTable[[#This Row],[GroupByKey]])*OutputTable[RecordedValue])),0)</f>
        <v>2.5473297566057069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74" cm="1">
        <f t="array" ref="O74">MIN(IF((OutputTable[GroupByKey]=OutputTable[[#This Row],[GroupByKey]]),(OutputTable[GroupByKey]=OutputTable[[#This Row],[GroupByKey]])*OutputTable[RecordedValue]))</f>
        <v>29</v>
      </c>
      <c r="P74" cm="1">
        <f t="array" ref="P74">MAX(IF((OutputTable[GroupByKey]=OutputTable[[#This Row],[GroupByKey]]),(OutputTable[GroupByKey]=OutputTable[[#This Row],[GroupByKey]])*OutputTable[RecordedValue]))</f>
        <v>37</v>
      </c>
    </row>
    <row r="75" spans="1:16" x14ac:dyDescent="0.3">
      <c r="A75" t="s">
        <v>66</v>
      </c>
      <c r="B75" t="s">
        <v>68</v>
      </c>
      <c r="C75">
        <v>5</v>
      </c>
      <c r="D75" t="s">
        <v>108</v>
      </c>
      <c r="E75" t="s">
        <v>104</v>
      </c>
      <c r="F75" t="s">
        <v>93</v>
      </c>
      <c r="G75">
        <v>0.74064208814979704</v>
      </c>
      <c r="H75">
        <v>0</v>
      </c>
      <c r="I75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0.77733493379426299</v>
      </c>
      <c r="L75" cm="1">
        <f t="array" ref="L75">IFERROR(_xlfn.STDEV.S(IF((OutputTable[GroupByKey]=OutputTable[[#This Row],[GroupByKey]]),(OutputTable[GroupByKey]=OutputTable[[#This Row],[GroupByKey]])*OutputTable[RecordedValue])),0)</f>
        <v>6.75490523663973E-2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75" cm="1">
        <f t="array" ref="O75">MIN(IF((OutputTable[GroupByKey]=OutputTable[[#This Row],[GroupByKey]]),(OutputTable[GroupByKey]=OutputTable[[#This Row],[GroupByKey]])*OutputTable[RecordedValue]))</f>
        <v>0.69586636126078405</v>
      </c>
      <c r="P75" cm="1">
        <f t="array" ref="P75">MAX(IF((OutputTable[GroupByKey]=OutputTable[[#This Row],[GroupByKey]]),(OutputTable[GroupByKey]=OutputTable[[#This Row],[GroupByKey]])*OutputTable[RecordedValue]))</f>
        <v>0.89372434220669095</v>
      </c>
    </row>
    <row r="76" spans="1:16" x14ac:dyDescent="0.3">
      <c r="A76" t="s">
        <v>66</v>
      </c>
      <c r="B76" t="s">
        <v>68</v>
      </c>
      <c r="C76">
        <v>5</v>
      </c>
      <c r="D76" t="s">
        <v>109</v>
      </c>
      <c r="E76" t="s">
        <v>110</v>
      </c>
      <c r="F76" t="s">
        <v>82</v>
      </c>
      <c r="G76">
        <v>49</v>
      </c>
      <c r="H76">
        <v>0</v>
      </c>
      <c r="I76" t="str">
        <f>OutputTable[[#This Row],[ProjectName]]&amp;OutputTable[[#This Row],[Name]]&amp;OutputTable[[#This Row],[Type]]&amp;OutputTable[[#This Row],[Source]]</f>
        <v>Unnamed ProjectPiece.NumberInNumber InEntity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49</v>
      </c>
      <c r="L76" cm="1">
        <f t="array" ref="L76">IFERROR(_xlfn.STDEV.S(IF((OutputTable[GroupByKey]=OutputTable[[#This Row],[GroupByKey]]),(OutputTable[GroupByKey]=OutputTable[[#This Row],[GroupByKey]])*OutputTable[RecordedValue])),0)</f>
        <v>0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" cm="1">
        <f t="array" ref="O76">MIN(IF((OutputTable[GroupByKey]=OutputTable[[#This Row],[GroupByKey]]),(OutputTable[GroupByKey]=OutputTable[[#This Row],[GroupByKey]])*OutputTable[RecordedValue]))</f>
        <v>49</v>
      </c>
      <c r="P76" cm="1">
        <f t="array" ref="P76">MAX(IF((OutputTable[GroupByKey]=OutputTable[[#This Row],[GroupByKey]]),(OutputTable[GroupByKey]=OutputTable[[#This Row],[GroupByKey]])*OutputTable[RecordedValue]))</f>
        <v>49</v>
      </c>
    </row>
    <row r="77" spans="1:16" x14ac:dyDescent="0.3">
      <c r="A77" t="s">
        <v>66</v>
      </c>
      <c r="B77" t="s">
        <v>68</v>
      </c>
      <c r="C77">
        <v>5</v>
      </c>
      <c r="D77" t="s">
        <v>111</v>
      </c>
      <c r="E77" t="s">
        <v>112</v>
      </c>
      <c r="F77" t="s">
        <v>82</v>
      </c>
      <c r="G77">
        <v>49</v>
      </c>
      <c r="H77">
        <v>0</v>
      </c>
      <c r="I77" t="str">
        <f>OutputTable[[#This Row],[ProjectName]]&amp;OutputTable[[#This Row],[Name]]&amp;OutputTable[[#This Row],[Type]]&amp;OutputTable[[#This Row],[Source]]</f>
        <v>Unnamed ProjectPiece.NumberOutNumber OutEntity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49</v>
      </c>
      <c r="L77" cm="1">
        <f t="array" ref="L77">IFERROR(_xlfn.STDEV.S(IF((OutputTable[GroupByKey]=OutputTable[[#This Row],[GroupByKey]]),(OutputTable[GroupByKey]=OutputTable[[#This Row],[GroupByKey]])*OutputTable[RecordedValue])),0)</f>
        <v>0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cm="1">
        <f t="array" ref="O77">MIN(IF((OutputTable[GroupByKey]=OutputTable[[#This Row],[GroupByKey]]),(OutputTable[GroupByKey]=OutputTable[[#This Row],[GroupByKey]])*OutputTable[RecordedValue]))</f>
        <v>49</v>
      </c>
      <c r="P77" cm="1">
        <f t="array" ref="P77">MAX(IF((OutputTable[GroupByKey]=OutputTable[[#This Row],[GroupByKey]]),(OutputTable[GroupByKey]=OutputTable[[#This Row],[GroupByKey]])*OutputTable[RecordedValue]))</f>
        <v>49</v>
      </c>
    </row>
    <row r="78" spans="1:16" x14ac:dyDescent="0.3">
      <c r="A78" t="s">
        <v>66</v>
      </c>
      <c r="B78" t="s">
        <v>68</v>
      </c>
      <c r="C78">
        <v>5</v>
      </c>
      <c r="D78" t="s">
        <v>113</v>
      </c>
      <c r="E78" t="s">
        <v>112</v>
      </c>
      <c r="F78" t="s">
        <v>114</v>
      </c>
      <c r="G78">
        <v>44</v>
      </c>
      <c r="H78">
        <v>0</v>
      </c>
      <c r="I78" t="str">
        <f>OutputTable[[#This Row],[ProjectName]]&amp;OutputTable[[#This Row],[Name]]&amp;OutputTable[[#This Row],[Type]]&amp;OutputTable[[#This Row],[Source]]</f>
        <v>Unnamed ProjectSystem.NumberOutNumber OutSystem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42.6</v>
      </c>
      <c r="L78" cm="1">
        <f t="array" ref="L78">IFERROR(_xlfn.STDEV.S(IF((OutputTable[GroupByKey]=OutputTable[[#This Row],[GroupByKey]]),(OutputTable[GroupByKey]=OutputTable[[#This Row],[GroupByKey]])*OutputTable[RecordedValue])),0)</f>
        <v>1.0749676997731399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78" cm="1">
        <f t="array" ref="O78">MIN(IF((OutputTable[GroupByKey]=OutputTable[[#This Row],[GroupByKey]]),(OutputTable[GroupByKey]=OutputTable[[#This Row],[GroupByKey]])*OutputTable[RecordedValue]))</f>
        <v>41</v>
      </c>
      <c r="P78" cm="1">
        <f t="array" ref="P78">MAX(IF((OutputTable[GroupByKey]=OutputTable[[#This Row],[GroupByKey]]),(OutputTable[GroupByKey]=OutputTable[[#This Row],[GroupByKey]])*OutputTable[RecordedValue]))</f>
        <v>44</v>
      </c>
    </row>
    <row r="79" spans="1:16" x14ac:dyDescent="0.3">
      <c r="A79" t="s">
        <v>66</v>
      </c>
      <c r="B79" t="s">
        <v>68</v>
      </c>
      <c r="C79">
        <v>5</v>
      </c>
      <c r="D79" t="s">
        <v>115</v>
      </c>
      <c r="E79" t="s">
        <v>110</v>
      </c>
      <c r="F79" t="s">
        <v>82</v>
      </c>
      <c r="G79">
        <v>10</v>
      </c>
      <c r="H79">
        <v>0</v>
      </c>
      <c r="I79" t="str">
        <f>OutputTable[[#This Row],[ProjectName]]&amp;OutputTable[[#This Row],[Name]]&amp;OutputTable[[#This Row],[Type]]&amp;OutputTable[[#This Row],[Source]]</f>
        <v>Unnamed ProjectType1.NumberInNumber InEntity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12.5</v>
      </c>
      <c r="L79" cm="1">
        <f t="array" ref="L79">IFERROR(_xlfn.STDEV.S(IF((OutputTable[GroupByKey]=OutputTable[[#This Row],[GroupByKey]]),(OutputTable[GroupByKey]=OutputTable[[#This Row],[GroupByKey]])*OutputTable[RecordedValue])),0)</f>
        <v>2.9154759474226504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79" cm="1">
        <f t="array" ref="O79">MIN(IF((OutputTable[GroupByKey]=OutputTable[[#This Row],[GroupByKey]]),(OutputTable[GroupByKey]=OutputTable[[#This Row],[GroupByKey]])*OutputTable[RecordedValue]))</f>
        <v>9</v>
      </c>
      <c r="P79" cm="1">
        <f t="array" ref="P79">MAX(IF((OutputTable[GroupByKey]=OutputTable[[#This Row],[GroupByKey]]),(OutputTable[GroupByKey]=OutputTable[[#This Row],[GroupByKey]])*OutputTable[RecordedValue]))</f>
        <v>18</v>
      </c>
    </row>
    <row r="80" spans="1:16" x14ac:dyDescent="0.3">
      <c r="A80" t="s">
        <v>66</v>
      </c>
      <c r="B80" t="s">
        <v>68</v>
      </c>
      <c r="C80">
        <v>5</v>
      </c>
      <c r="D80" t="s">
        <v>116</v>
      </c>
      <c r="E80" t="s">
        <v>112</v>
      </c>
      <c r="F80" t="s">
        <v>82</v>
      </c>
      <c r="G80">
        <v>9</v>
      </c>
      <c r="H80">
        <v>0</v>
      </c>
      <c r="I80" t="str">
        <f>OutputTable[[#This Row],[ProjectName]]&amp;OutputTable[[#This Row],[Name]]&amp;OutputTable[[#This Row],[Type]]&amp;OutputTable[[#This Row],[Source]]</f>
        <v>Unnamed ProjectType1.NumberOutNumber OutEntity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11.1</v>
      </c>
      <c r="L80" cm="1">
        <f t="array" ref="L80">IFERROR(_xlfn.STDEV.S(IF((OutputTable[GroupByKey]=OutputTable[[#This Row],[GroupByKey]]),(OutputTable[GroupByKey]=OutputTable[[#This Row],[GroupByKey]])*OutputTable[RecordedValue])),0)</f>
        <v>2.6436506745197819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80" cm="1">
        <f t="array" ref="O80">MIN(IF((OutputTable[GroupByKey]=OutputTable[[#This Row],[GroupByKey]]),(OutputTable[GroupByKey]=OutputTable[[#This Row],[GroupByKey]])*OutputTable[RecordedValue]))</f>
        <v>8</v>
      </c>
      <c r="P80" cm="1">
        <f t="array" ref="P80">MAX(IF((OutputTable[GroupByKey]=OutputTable[[#This Row],[GroupByKey]]),(OutputTable[GroupByKey]=OutputTable[[#This Row],[GroupByKey]])*OutputTable[RecordedValue]))</f>
        <v>16</v>
      </c>
    </row>
    <row r="81" spans="1:16" x14ac:dyDescent="0.3">
      <c r="A81" t="s">
        <v>66</v>
      </c>
      <c r="B81" t="s">
        <v>68</v>
      </c>
      <c r="C81">
        <v>5</v>
      </c>
      <c r="D81" t="s">
        <v>117</v>
      </c>
      <c r="E81" t="s">
        <v>110</v>
      </c>
      <c r="F81" t="s">
        <v>82</v>
      </c>
      <c r="G81">
        <v>11</v>
      </c>
      <c r="H81">
        <v>0</v>
      </c>
      <c r="I81" t="str">
        <f>OutputTable[[#This Row],[ProjectName]]&amp;OutputTable[[#This Row],[Name]]&amp;OutputTable[[#This Row],[Type]]&amp;OutputTable[[#This Row],[Source]]</f>
        <v>Unnamed ProjectType2.NumberInNumber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11.3</v>
      </c>
      <c r="L81" cm="1">
        <f t="array" ref="L81">IFERROR(_xlfn.STDEV.S(IF((OutputTable[GroupByKey]=OutputTable[[#This Row],[GroupByKey]]),(OutputTable[GroupByKey]=OutputTable[[#This Row],[GroupByKey]])*OutputTable[RecordedValue])),0)</f>
        <v>1.7029386365926371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81" cm="1">
        <f t="array" ref="O81">MIN(IF((OutputTable[GroupByKey]=OutputTable[[#This Row],[GroupByKey]]),(OutputTable[GroupByKey]=OutputTable[[#This Row],[GroupByKey]])*OutputTable[RecordedValue]))</f>
        <v>9</v>
      </c>
      <c r="P81" cm="1">
        <f t="array" ref="P81">MAX(IF((OutputTable[GroupByKey]=OutputTable[[#This Row],[GroupByKey]]),(OutputTable[GroupByKey]=OutputTable[[#This Row],[GroupByKey]])*OutputTable[RecordedValue]))</f>
        <v>14</v>
      </c>
    </row>
    <row r="82" spans="1:16" x14ac:dyDescent="0.3">
      <c r="A82" t="s">
        <v>66</v>
      </c>
      <c r="B82" t="s">
        <v>68</v>
      </c>
      <c r="C82">
        <v>5</v>
      </c>
      <c r="D82" t="s">
        <v>118</v>
      </c>
      <c r="E82" t="s">
        <v>112</v>
      </c>
      <c r="F82" t="s">
        <v>82</v>
      </c>
      <c r="G82">
        <v>9</v>
      </c>
      <c r="H82">
        <v>0</v>
      </c>
      <c r="I82" t="str">
        <f>OutputTable[[#This Row],[ProjectName]]&amp;OutputTable[[#This Row],[Name]]&amp;OutputTable[[#This Row],[Type]]&amp;OutputTable[[#This Row],[Source]]</f>
        <v>Unnamed ProjectType2.NumberOutNumber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9.1</v>
      </c>
      <c r="L82" cm="1">
        <f t="array" ref="L82">IFERROR(_xlfn.STDEV.S(IF((OutputTable[GroupByKey]=OutputTable[[#This Row],[GroupByKey]]),(OutputTable[GroupByKey]=OutputTable[[#This Row],[GroupByKey]])*OutputTable[RecordedValue])),0)</f>
        <v>1.3703203194062967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82" cm="1">
        <f t="array" ref="O82">MIN(IF((OutputTable[GroupByKey]=OutputTable[[#This Row],[GroupByKey]]),(OutputTable[GroupByKey]=OutputTable[[#This Row],[GroupByKey]])*OutputTable[RecordedValue]))</f>
        <v>7</v>
      </c>
      <c r="P82" cm="1">
        <f t="array" ref="P82">MAX(IF((OutputTable[GroupByKey]=OutputTable[[#This Row],[GroupByKey]]),(OutputTable[GroupByKey]=OutputTable[[#This Row],[GroupByKey]])*OutputTable[RecordedValue]))</f>
        <v>12</v>
      </c>
    </row>
    <row r="83" spans="1:16" x14ac:dyDescent="0.3">
      <c r="A83" t="s">
        <v>66</v>
      </c>
      <c r="B83" t="s">
        <v>68</v>
      </c>
      <c r="C83">
        <v>5</v>
      </c>
      <c r="D83" t="s">
        <v>119</v>
      </c>
      <c r="E83" t="s">
        <v>110</v>
      </c>
      <c r="F83" t="s">
        <v>82</v>
      </c>
      <c r="G83">
        <v>13</v>
      </c>
      <c r="H83">
        <v>0</v>
      </c>
      <c r="I83" t="str">
        <f>OutputTable[[#This Row],[ProjectName]]&amp;OutputTable[[#This Row],[Name]]&amp;OutputTable[[#This Row],[Type]]&amp;OutputTable[[#This Row],[Source]]</f>
        <v>Unnamed ProjectType3.NumberInNumber InEntity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12.7</v>
      </c>
      <c r="L83" cm="1">
        <f t="array" ref="L83">IFERROR(_xlfn.STDEV.S(IF((OutputTable[GroupByKey]=OutputTable[[#This Row],[GroupByKey]]),(OutputTable[GroupByKey]=OutputTable[[#This Row],[GroupByKey]])*OutputTable[RecordedValue])),0)</f>
        <v>2.7507574714370326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83" cm="1">
        <f t="array" ref="O83">MIN(IF((OutputTable[GroupByKey]=OutputTable[[#This Row],[GroupByKey]]),(OutputTable[GroupByKey]=OutputTable[[#This Row],[GroupByKey]])*OutputTable[RecordedValue]))</f>
        <v>8</v>
      </c>
      <c r="P83" cm="1">
        <f t="array" ref="P83">MAX(IF((OutputTable[GroupByKey]=OutputTable[[#This Row],[GroupByKey]]),(OutputTable[GroupByKey]=OutputTable[[#This Row],[GroupByKey]])*OutputTable[RecordedValue]))</f>
        <v>17</v>
      </c>
    </row>
    <row r="84" spans="1:16" x14ac:dyDescent="0.3">
      <c r="A84" t="s">
        <v>66</v>
      </c>
      <c r="B84" t="s">
        <v>68</v>
      </c>
      <c r="C84">
        <v>5</v>
      </c>
      <c r="D84" t="s">
        <v>120</v>
      </c>
      <c r="E84" t="s">
        <v>112</v>
      </c>
      <c r="F84" t="s">
        <v>82</v>
      </c>
      <c r="G84">
        <v>12</v>
      </c>
      <c r="H84">
        <v>0</v>
      </c>
      <c r="I84" t="str">
        <f>OutputTable[[#This Row],[ProjectName]]&amp;OutputTable[[#This Row],[Name]]&amp;OutputTable[[#This Row],[Type]]&amp;OutputTable[[#This Row],[Source]]</f>
        <v>Unnamed ProjectType3.NumberOutNumber OutEntity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11</v>
      </c>
      <c r="L84" cm="1">
        <f t="array" ref="L84">IFERROR(_xlfn.STDEV.S(IF((OutputTable[GroupByKey]=OutputTable[[#This Row],[GroupByKey]]),(OutputTable[GroupByKey]=OutputTable[[#This Row],[GroupByKey]])*OutputTable[RecordedValue])),0)</f>
        <v>2.1081851067789197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84" cm="1">
        <f t="array" ref="O84">MIN(IF((OutputTable[GroupByKey]=OutputTable[[#This Row],[GroupByKey]]),(OutputTable[GroupByKey]=OutputTable[[#This Row],[GroupByKey]])*OutputTable[RecordedValue]))</f>
        <v>8</v>
      </c>
      <c r="P84" cm="1">
        <f t="array" ref="P84">MAX(IF((OutputTable[GroupByKey]=OutputTable[[#This Row],[GroupByKey]]),(OutputTable[GroupByKey]=OutputTable[[#This Row],[GroupByKey]])*OutputTable[RecordedValue]))</f>
        <v>14</v>
      </c>
    </row>
    <row r="85" spans="1:16" x14ac:dyDescent="0.3">
      <c r="A85" t="s">
        <v>66</v>
      </c>
      <c r="B85" t="s">
        <v>68</v>
      </c>
      <c r="C85">
        <v>5</v>
      </c>
      <c r="D85" t="s">
        <v>121</v>
      </c>
      <c r="E85" t="s">
        <v>110</v>
      </c>
      <c r="F85" t="s">
        <v>82</v>
      </c>
      <c r="G85">
        <v>15</v>
      </c>
      <c r="H85">
        <v>0</v>
      </c>
      <c r="I85" t="str">
        <f>OutputTable[[#This Row],[ProjectName]]&amp;OutputTable[[#This Row],[Name]]&amp;OutputTable[[#This Row],[Type]]&amp;OutputTable[[#This Row],[Source]]</f>
        <v>Unnamed ProjectType4.NumberInNumber InEntity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12.5</v>
      </c>
      <c r="L85" cm="1">
        <f t="array" ref="L85">IFERROR(_xlfn.STDEV.S(IF((OutputTable[GroupByKey]=OutputTable[[#This Row],[GroupByKey]]),(OutputTable[GroupByKey]=OutputTable[[#This Row],[GroupByKey]])*OutputTable[RecordedValue])),0)</f>
        <v>2.2730302828309759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85" cm="1">
        <f t="array" ref="O85">MIN(IF((OutputTable[GroupByKey]=OutputTable[[#This Row],[GroupByKey]]),(OutputTable[GroupByKey]=OutputTable[[#This Row],[GroupByKey]])*OutputTable[RecordedValue]))</f>
        <v>9</v>
      </c>
      <c r="P85" cm="1">
        <f t="array" ref="P85">MAX(IF((OutputTable[GroupByKey]=OutputTable[[#This Row],[GroupByKey]]),(OutputTable[GroupByKey]=OutputTable[[#This Row],[GroupByKey]])*OutputTable[RecordedValue]))</f>
        <v>16</v>
      </c>
    </row>
    <row r="86" spans="1:16" x14ac:dyDescent="0.3">
      <c r="A86" t="s">
        <v>66</v>
      </c>
      <c r="B86" t="s">
        <v>68</v>
      </c>
      <c r="C86">
        <v>5</v>
      </c>
      <c r="D86" t="s">
        <v>122</v>
      </c>
      <c r="E86" t="s">
        <v>112</v>
      </c>
      <c r="F86" t="s">
        <v>82</v>
      </c>
      <c r="G86">
        <v>14</v>
      </c>
      <c r="H86">
        <v>0</v>
      </c>
      <c r="I86" t="str">
        <f>OutputTable[[#This Row],[ProjectName]]&amp;OutputTable[[#This Row],[Name]]&amp;OutputTable[[#This Row],[Type]]&amp;OutputTable[[#This Row],[Source]]</f>
        <v>Unnamed ProjectType4.NumberOutNumber OutEntity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11.4</v>
      </c>
      <c r="L86" cm="1">
        <f t="array" ref="L86">IFERROR(_xlfn.STDEV.S(IF((OutputTable[GroupByKey]=OutputTable[[#This Row],[GroupByKey]]),(OutputTable[GroupByKey]=OutputTable[[#This Row],[GroupByKey]])*OutputTable[RecordedValue])),0)</f>
        <v>1.8378731669453656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86" cm="1">
        <f t="array" ref="O86">MIN(IF((OutputTable[GroupByKey]=OutputTable[[#This Row],[GroupByKey]]),(OutputTable[GroupByKey]=OutputTable[[#This Row],[GroupByKey]])*OutputTable[RecordedValue]))</f>
        <v>8</v>
      </c>
      <c r="P86" cm="1">
        <f t="array" ref="P86">MAX(IF((OutputTable[GroupByKey]=OutputTable[[#This Row],[GroupByKey]]),(OutputTable[GroupByKey]=OutputTable[[#This Row],[GroupByKey]])*OutputTable[RecordedValue]))</f>
        <v>14</v>
      </c>
    </row>
    <row r="87" spans="1:16" x14ac:dyDescent="0.3">
      <c r="A87" t="s">
        <v>66</v>
      </c>
      <c r="B87" t="s">
        <v>68</v>
      </c>
      <c r="C87">
        <v>6</v>
      </c>
      <c r="D87" t="s">
        <v>101</v>
      </c>
      <c r="E87" t="s">
        <v>102</v>
      </c>
      <c r="F87" t="s">
        <v>93</v>
      </c>
      <c r="G87">
        <v>37</v>
      </c>
      <c r="H87">
        <v>0</v>
      </c>
      <c r="I87" t="str">
        <f>OutputTable[[#This Row],[ProjectName]]&amp;OutputTable[[#This Row],[Name]]&amp;OutputTable[[#This Row],[Type]]&amp;OutputTable[[#This Row],[Source]]</f>
        <v>Unnamed ProjectMachine A.NumberSeizedTotal Number SeizedResource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35</v>
      </c>
      <c r="L87" cm="1">
        <f t="array" ref="L87">IFERROR(_xlfn.STDEV.S(IF((OutputTable[GroupByKey]=OutputTable[[#This Row],[GroupByKey]]),(OutputTable[GroupByKey]=OutputTable[[#This Row],[GroupByKey]])*OutputTable[RecordedValue])),0)</f>
        <v>1.7638342073763937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87" cm="1">
        <f t="array" ref="O87">MIN(IF((OutputTable[GroupByKey]=OutputTable[[#This Row],[GroupByKey]]),(OutputTable[GroupByKey]=OutputTable[[#This Row],[GroupByKey]])*OutputTable[RecordedValue]))</f>
        <v>32</v>
      </c>
      <c r="P87" cm="1">
        <f t="array" ref="P87">MAX(IF((OutputTable[GroupByKey]=OutputTable[[#This Row],[GroupByKey]]),(OutputTable[GroupByKey]=OutputTable[[#This Row],[GroupByKey]])*OutputTable[RecordedValue]))</f>
        <v>37</v>
      </c>
    </row>
    <row r="88" spans="1:16" x14ac:dyDescent="0.3">
      <c r="A88" t="s">
        <v>66</v>
      </c>
      <c r="B88" t="s">
        <v>68</v>
      </c>
      <c r="C88">
        <v>6</v>
      </c>
      <c r="D88" t="s">
        <v>103</v>
      </c>
      <c r="E88" t="s">
        <v>104</v>
      </c>
      <c r="F88" t="s">
        <v>93</v>
      </c>
      <c r="G88">
        <v>0.92513911074198196</v>
      </c>
      <c r="H88">
        <v>0</v>
      </c>
      <c r="I88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0.83106107177752264</v>
      </c>
      <c r="L88" cm="1">
        <f t="array" ref="L88">IFERROR(_xlfn.STDEV.S(IF((OutputTable[GroupByKey]=OutputTable[[#This Row],[GroupByKey]]),(OutputTable[GroupByKey]=OutputTable[[#This Row],[GroupByKey]])*OutputTable[RecordedValue])),0)</f>
        <v>6.4548027001173278E-2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88" cm="1">
        <f t="array" ref="O88">MIN(IF((OutputTable[GroupByKey]=OutputTable[[#This Row],[GroupByKey]]),(OutputTable[GroupByKey]=OutputTable[[#This Row],[GroupByKey]])*OutputTable[RecordedValue]))</f>
        <v>0.70923148168898098</v>
      </c>
      <c r="P88" cm="1">
        <f t="array" ref="P88">MAX(IF((OutputTable[GroupByKey]=OutputTable[[#This Row],[GroupByKey]]),(OutputTable[GroupByKey]=OutputTable[[#This Row],[GroupByKey]])*OutputTable[RecordedValue]))</f>
        <v>0.92513911074198196</v>
      </c>
    </row>
    <row r="89" spans="1:16" x14ac:dyDescent="0.3">
      <c r="A89" t="s">
        <v>66</v>
      </c>
      <c r="B89" t="s">
        <v>68</v>
      </c>
      <c r="C89">
        <v>6</v>
      </c>
      <c r="D89" t="s">
        <v>105</v>
      </c>
      <c r="E89" t="s">
        <v>102</v>
      </c>
      <c r="F89" t="s">
        <v>93</v>
      </c>
      <c r="G89">
        <v>33</v>
      </c>
      <c r="H89">
        <v>0</v>
      </c>
      <c r="I89" t="str">
        <f>OutputTable[[#This Row],[ProjectName]]&amp;OutputTable[[#This Row],[Name]]&amp;OutputTable[[#This Row],[Type]]&amp;OutputTable[[#This Row],[Source]]</f>
        <v>Unnamed ProjectMachine B.NumberSeizedTotal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33.4</v>
      </c>
      <c r="L89" cm="1">
        <f t="array" ref="L89">IFERROR(_xlfn.STDEV.S(IF((OutputTable[GroupByKey]=OutputTable[[#This Row],[GroupByKey]]),(OutputTable[GroupByKey]=OutputTable[[#This Row],[GroupByKey]])*OutputTable[RecordedValue])),0)</f>
        <v>2.5905812303633931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89" cm="1">
        <f t="array" ref="O89">MIN(IF((OutputTable[GroupByKey]=OutputTable[[#This Row],[GroupByKey]]),(OutputTable[GroupByKey]=OutputTable[[#This Row],[GroupByKey]])*OutputTable[RecordedValue]))</f>
        <v>29</v>
      </c>
      <c r="P89" cm="1">
        <f t="array" ref="P89">MAX(IF((OutputTable[GroupByKey]=OutputTable[[#This Row],[GroupByKey]]),(OutputTable[GroupByKey]=OutputTable[[#This Row],[GroupByKey]])*OutputTable[RecordedValue]))</f>
        <v>37</v>
      </c>
    </row>
    <row r="90" spans="1:16" x14ac:dyDescent="0.3">
      <c r="A90" t="s">
        <v>66</v>
      </c>
      <c r="B90" t="s">
        <v>68</v>
      </c>
      <c r="C90">
        <v>6</v>
      </c>
      <c r="D90" t="s">
        <v>106</v>
      </c>
      <c r="E90" t="s">
        <v>104</v>
      </c>
      <c r="F90" t="s">
        <v>93</v>
      </c>
      <c r="G90">
        <v>0.83200427859563797</v>
      </c>
      <c r="H90">
        <v>0</v>
      </c>
      <c r="I90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0.84520971658291411</v>
      </c>
      <c r="L90" cm="1">
        <f t="array" ref="L90">IFERROR(_xlfn.STDEV.S(IF((OutputTable[GroupByKey]=OutputTable[[#This Row],[GroupByKey]]),(OutputTable[GroupByKey]=OutputTable[[#This Row],[GroupByKey]])*OutputTable[RecordedValue])),0)</f>
        <v>6.1226598287413884E-2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90" cm="1">
        <f t="array" ref="O90">MIN(IF((OutputTable[GroupByKey]=OutputTable[[#This Row],[GroupByKey]]),(OutputTable[GroupByKey]=OutputTable[[#This Row],[GroupByKey]])*OutputTable[RecordedValue]))</f>
        <v>0.71728584076343305</v>
      </c>
      <c r="P90" cm="1">
        <f t="array" ref="P90">MAX(IF((OutputTable[GroupByKey]=OutputTable[[#This Row],[GroupByKey]]),(OutputTable[GroupByKey]=OutputTable[[#This Row],[GroupByKey]])*OutputTable[RecordedValue]))</f>
        <v>0.91938608785018705</v>
      </c>
    </row>
    <row r="91" spans="1:16" x14ac:dyDescent="0.3">
      <c r="A91" t="s">
        <v>66</v>
      </c>
      <c r="B91" t="s">
        <v>68</v>
      </c>
      <c r="C91">
        <v>6</v>
      </c>
      <c r="D91" t="s">
        <v>107</v>
      </c>
      <c r="E91" t="s">
        <v>102</v>
      </c>
      <c r="F91" t="s">
        <v>93</v>
      </c>
      <c r="G91">
        <v>30</v>
      </c>
      <c r="H91">
        <v>0</v>
      </c>
      <c r="I91" t="str">
        <f>OutputTable[[#This Row],[ProjectName]]&amp;OutputTable[[#This Row],[Name]]&amp;OutputTable[[#This Row],[Type]]&amp;OutputTable[[#This Row],[Source]]</f>
        <v>Unnamed ProjectMachine C.NumberSeizedTotal Number SeizedResource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32.6</v>
      </c>
      <c r="L91" cm="1">
        <f t="array" ref="L91">IFERROR(_xlfn.STDEV.S(IF((OutputTable[GroupByKey]=OutputTable[[#This Row],[GroupByKey]]),(OutputTable[GroupByKey]=OutputTable[[#This Row],[GroupByKey]])*OutputTable[RecordedValue])),0)</f>
        <v>2.5473297566057069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91" cm="1">
        <f t="array" ref="O91">MIN(IF((OutputTable[GroupByKey]=OutputTable[[#This Row],[GroupByKey]]),(OutputTable[GroupByKey]=OutputTable[[#This Row],[GroupByKey]])*OutputTable[RecordedValue]))</f>
        <v>29</v>
      </c>
      <c r="P91" cm="1">
        <f t="array" ref="P91">MAX(IF((OutputTable[GroupByKey]=OutputTable[[#This Row],[GroupByKey]]),(OutputTable[GroupByKey]=OutputTable[[#This Row],[GroupByKey]])*OutputTable[RecordedValue]))</f>
        <v>37</v>
      </c>
    </row>
    <row r="92" spans="1:16" x14ac:dyDescent="0.3">
      <c r="A92" t="s">
        <v>66</v>
      </c>
      <c r="B92" t="s">
        <v>68</v>
      </c>
      <c r="C92">
        <v>6</v>
      </c>
      <c r="D92" t="s">
        <v>108</v>
      </c>
      <c r="E92" t="s">
        <v>104</v>
      </c>
      <c r="F92" t="s">
        <v>93</v>
      </c>
      <c r="G92">
        <v>0.69586636126078405</v>
      </c>
      <c r="H92">
        <v>0</v>
      </c>
      <c r="I92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0.77733493379426299</v>
      </c>
      <c r="L92" cm="1">
        <f t="array" ref="L92">IFERROR(_xlfn.STDEV.S(IF((OutputTable[GroupByKey]=OutputTable[[#This Row],[GroupByKey]]),(OutputTable[GroupByKey]=OutputTable[[#This Row],[GroupByKey]])*OutputTable[RecordedValue])),0)</f>
        <v>6.75490523663973E-2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92" cm="1">
        <f t="array" ref="O92">MIN(IF((OutputTable[GroupByKey]=OutputTable[[#This Row],[GroupByKey]]),(OutputTable[GroupByKey]=OutputTable[[#This Row],[GroupByKey]])*OutputTable[RecordedValue]))</f>
        <v>0.69586636126078405</v>
      </c>
      <c r="P92" cm="1">
        <f t="array" ref="P92">MAX(IF((OutputTable[GroupByKey]=OutputTable[[#This Row],[GroupByKey]]),(OutputTable[GroupByKey]=OutputTable[[#This Row],[GroupByKey]])*OutputTable[RecordedValue]))</f>
        <v>0.89372434220669095</v>
      </c>
    </row>
    <row r="93" spans="1:16" x14ac:dyDescent="0.3">
      <c r="A93" t="s">
        <v>66</v>
      </c>
      <c r="B93" t="s">
        <v>68</v>
      </c>
      <c r="C93">
        <v>6</v>
      </c>
      <c r="D93" t="s">
        <v>109</v>
      </c>
      <c r="E93" t="s">
        <v>110</v>
      </c>
      <c r="F93" t="s">
        <v>82</v>
      </c>
      <c r="G93">
        <v>49</v>
      </c>
      <c r="H93">
        <v>0</v>
      </c>
      <c r="I93" t="str">
        <f>OutputTable[[#This Row],[ProjectName]]&amp;OutputTable[[#This Row],[Name]]&amp;OutputTable[[#This Row],[Type]]&amp;OutputTable[[#This Row],[Source]]</f>
        <v>Unnamed ProjectPiece.NumberInNumber InEntity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49</v>
      </c>
      <c r="L93" cm="1">
        <f t="array" ref="L93">IFERROR(_xlfn.STDEV.S(IF((OutputTable[GroupByKey]=OutputTable[[#This Row],[GroupByKey]]),(OutputTable[GroupByKey]=OutputTable[[#This Row],[GroupByKey]])*OutputTable[RecordedValue])),0)</f>
        <v>0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" cm="1">
        <f t="array" ref="O93">MIN(IF((OutputTable[GroupByKey]=OutputTable[[#This Row],[GroupByKey]]),(OutputTable[GroupByKey]=OutputTable[[#This Row],[GroupByKey]])*OutputTable[RecordedValue]))</f>
        <v>49</v>
      </c>
      <c r="P93" cm="1">
        <f t="array" ref="P93">MAX(IF((OutputTable[GroupByKey]=OutputTable[[#This Row],[GroupByKey]]),(OutputTable[GroupByKey]=OutputTable[[#This Row],[GroupByKey]])*OutputTable[RecordedValue]))</f>
        <v>49</v>
      </c>
    </row>
    <row r="94" spans="1:16" x14ac:dyDescent="0.3">
      <c r="A94" t="s">
        <v>66</v>
      </c>
      <c r="B94" t="s">
        <v>68</v>
      </c>
      <c r="C94">
        <v>6</v>
      </c>
      <c r="D94" t="s">
        <v>111</v>
      </c>
      <c r="E94" t="s">
        <v>112</v>
      </c>
      <c r="F94" t="s">
        <v>82</v>
      </c>
      <c r="G94">
        <v>49</v>
      </c>
      <c r="H94">
        <v>0</v>
      </c>
      <c r="I94" t="str">
        <f>OutputTable[[#This Row],[ProjectName]]&amp;OutputTable[[#This Row],[Name]]&amp;OutputTable[[#This Row],[Type]]&amp;OutputTable[[#This Row],[Source]]</f>
        <v>Unnamed ProjectPiece.NumberOutNumber OutEntity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49</v>
      </c>
      <c r="L94" cm="1">
        <f t="array" ref="L94">IFERROR(_xlfn.STDEV.S(IF((OutputTable[GroupByKey]=OutputTable[[#This Row],[GroupByKey]]),(OutputTable[GroupByKey]=OutputTable[[#This Row],[GroupByKey]])*OutputTable[RecordedValue])),0)</f>
        <v>0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cm="1">
        <f t="array" ref="O94">MIN(IF((OutputTable[GroupByKey]=OutputTable[[#This Row],[GroupByKey]]),(OutputTable[GroupByKey]=OutputTable[[#This Row],[GroupByKey]])*OutputTable[RecordedValue]))</f>
        <v>49</v>
      </c>
      <c r="P94" cm="1">
        <f t="array" ref="P94">MAX(IF((OutputTable[GroupByKey]=OutputTable[[#This Row],[GroupByKey]]),(OutputTable[GroupByKey]=OutputTable[[#This Row],[GroupByKey]])*OutputTable[RecordedValue]))</f>
        <v>49</v>
      </c>
    </row>
    <row r="95" spans="1:16" x14ac:dyDescent="0.3">
      <c r="A95" t="s">
        <v>66</v>
      </c>
      <c r="B95" t="s">
        <v>68</v>
      </c>
      <c r="C95">
        <v>6</v>
      </c>
      <c r="D95" t="s">
        <v>113</v>
      </c>
      <c r="E95" t="s">
        <v>112</v>
      </c>
      <c r="F95" t="s">
        <v>114</v>
      </c>
      <c r="G95">
        <v>41</v>
      </c>
      <c r="H95">
        <v>0</v>
      </c>
      <c r="I95" t="str">
        <f>OutputTable[[#This Row],[ProjectName]]&amp;OutputTable[[#This Row],[Name]]&amp;OutputTable[[#This Row],[Type]]&amp;OutputTable[[#This Row],[Source]]</f>
        <v>Unnamed ProjectSystem.NumberOutNumber OutSystem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42.6</v>
      </c>
      <c r="L95" cm="1">
        <f t="array" ref="L95">IFERROR(_xlfn.STDEV.S(IF((OutputTable[GroupByKey]=OutputTable[[#This Row],[GroupByKey]]),(OutputTable[GroupByKey]=OutputTable[[#This Row],[GroupByKey]])*OutputTable[RecordedValue])),0)</f>
        <v>1.0749676997731399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95" cm="1">
        <f t="array" ref="O95">MIN(IF((OutputTable[GroupByKey]=OutputTable[[#This Row],[GroupByKey]]),(OutputTable[GroupByKey]=OutputTable[[#This Row],[GroupByKey]])*OutputTable[RecordedValue]))</f>
        <v>41</v>
      </c>
      <c r="P95" cm="1">
        <f t="array" ref="P95">MAX(IF((OutputTable[GroupByKey]=OutputTable[[#This Row],[GroupByKey]]),(OutputTable[GroupByKey]=OutputTable[[#This Row],[GroupByKey]])*OutputTable[RecordedValue]))</f>
        <v>44</v>
      </c>
    </row>
    <row r="96" spans="1:16" x14ac:dyDescent="0.3">
      <c r="A96" t="s">
        <v>66</v>
      </c>
      <c r="B96" t="s">
        <v>68</v>
      </c>
      <c r="C96">
        <v>6</v>
      </c>
      <c r="D96" t="s">
        <v>115</v>
      </c>
      <c r="E96" t="s">
        <v>110</v>
      </c>
      <c r="F96" t="s">
        <v>82</v>
      </c>
      <c r="G96">
        <v>12</v>
      </c>
      <c r="H96">
        <v>0</v>
      </c>
      <c r="I96" t="str">
        <f>OutputTable[[#This Row],[ProjectName]]&amp;OutputTable[[#This Row],[Name]]&amp;OutputTable[[#This Row],[Type]]&amp;OutputTable[[#This Row],[Source]]</f>
        <v>Unnamed ProjectType1.NumberInNumber InEntity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12.5</v>
      </c>
      <c r="L96" cm="1">
        <f t="array" ref="L96">IFERROR(_xlfn.STDEV.S(IF((OutputTable[GroupByKey]=OutputTable[[#This Row],[GroupByKey]]),(OutputTable[GroupByKey]=OutputTable[[#This Row],[GroupByKey]])*OutputTable[RecordedValue])),0)</f>
        <v>2.9154759474226504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96" cm="1">
        <f t="array" ref="O96">MIN(IF((OutputTable[GroupByKey]=OutputTable[[#This Row],[GroupByKey]]),(OutputTable[GroupByKey]=OutputTable[[#This Row],[GroupByKey]])*OutputTable[RecordedValue]))</f>
        <v>9</v>
      </c>
      <c r="P96" cm="1">
        <f t="array" ref="P96">MAX(IF((OutputTable[GroupByKey]=OutputTable[[#This Row],[GroupByKey]]),(OutputTable[GroupByKey]=OutputTable[[#This Row],[GroupByKey]])*OutputTable[RecordedValue]))</f>
        <v>18</v>
      </c>
    </row>
    <row r="97" spans="1:16" x14ac:dyDescent="0.3">
      <c r="A97" t="s">
        <v>66</v>
      </c>
      <c r="B97" t="s">
        <v>68</v>
      </c>
      <c r="C97">
        <v>6</v>
      </c>
      <c r="D97" t="s">
        <v>116</v>
      </c>
      <c r="E97" t="s">
        <v>112</v>
      </c>
      <c r="F97" t="s">
        <v>82</v>
      </c>
      <c r="G97">
        <v>10</v>
      </c>
      <c r="H97">
        <v>0</v>
      </c>
      <c r="I97" t="str">
        <f>OutputTable[[#This Row],[ProjectName]]&amp;OutputTable[[#This Row],[Name]]&amp;OutputTable[[#This Row],[Type]]&amp;OutputTable[[#This Row],[Source]]</f>
        <v>Unnamed ProjectType1.NumberOutNumber OutEntity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11.1</v>
      </c>
      <c r="L97" cm="1">
        <f t="array" ref="L97">IFERROR(_xlfn.STDEV.S(IF((OutputTable[GroupByKey]=OutputTable[[#This Row],[GroupByKey]]),(OutputTable[GroupByKey]=OutputTable[[#This Row],[GroupByKey]])*OutputTable[RecordedValue])),0)</f>
        <v>2.6436506745197819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97" cm="1">
        <f t="array" ref="O97">MIN(IF((OutputTable[GroupByKey]=OutputTable[[#This Row],[GroupByKey]]),(OutputTable[GroupByKey]=OutputTable[[#This Row],[GroupByKey]])*OutputTable[RecordedValue]))</f>
        <v>8</v>
      </c>
      <c r="P97" cm="1">
        <f t="array" ref="P97">MAX(IF((OutputTable[GroupByKey]=OutputTable[[#This Row],[GroupByKey]]),(OutputTable[GroupByKey]=OutputTable[[#This Row],[GroupByKey]])*OutputTable[RecordedValue]))</f>
        <v>16</v>
      </c>
    </row>
    <row r="98" spans="1:16" x14ac:dyDescent="0.3">
      <c r="A98" t="s">
        <v>66</v>
      </c>
      <c r="B98" t="s">
        <v>68</v>
      </c>
      <c r="C98">
        <v>6</v>
      </c>
      <c r="D98" t="s">
        <v>117</v>
      </c>
      <c r="E98" t="s">
        <v>110</v>
      </c>
      <c r="F98" t="s">
        <v>82</v>
      </c>
      <c r="G98">
        <v>11</v>
      </c>
      <c r="H98">
        <v>0</v>
      </c>
      <c r="I98" t="str">
        <f>OutputTable[[#This Row],[ProjectName]]&amp;OutputTable[[#This Row],[Name]]&amp;OutputTable[[#This Row],[Type]]&amp;OutputTable[[#This Row],[Source]]</f>
        <v>Unnamed ProjectType2.NumberInNumber InEntity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11.3</v>
      </c>
      <c r="L98" cm="1">
        <f t="array" ref="L98">IFERROR(_xlfn.STDEV.S(IF((OutputTable[GroupByKey]=OutputTable[[#This Row],[GroupByKey]]),(OutputTable[GroupByKey]=OutputTable[[#This Row],[GroupByKey]])*OutputTable[RecordedValue])),0)</f>
        <v>1.7029386365926371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98" cm="1">
        <f t="array" ref="O98">MIN(IF((OutputTable[GroupByKey]=OutputTable[[#This Row],[GroupByKey]]),(OutputTable[GroupByKey]=OutputTable[[#This Row],[GroupByKey]])*OutputTable[RecordedValue]))</f>
        <v>9</v>
      </c>
      <c r="P98" cm="1">
        <f t="array" ref="P98">MAX(IF((OutputTable[GroupByKey]=OutputTable[[#This Row],[GroupByKey]]),(OutputTable[GroupByKey]=OutputTable[[#This Row],[GroupByKey]])*OutputTable[RecordedValue]))</f>
        <v>14</v>
      </c>
    </row>
    <row r="99" spans="1:16" x14ac:dyDescent="0.3">
      <c r="A99" t="s">
        <v>66</v>
      </c>
      <c r="B99" t="s">
        <v>68</v>
      </c>
      <c r="C99">
        <v>6</v>
      </c>
      <c r="D99" t="s">
        <v>118</v>
      </c>
      <c r="E99" t="s">
        <v>112</v>
      </c>
      <c r="F99" t="s">
        <v>82</v>
      </c>
      <c r="G99">
        <v>10</v>
      </c>
      <c r="H99">
        <v>0</v>
      </c>
      <c r="I99" t="str">
        <f>OutputTable[[#This Row],[ProjectName]]&amp;OutputTable[[#This Row],[Name]]&amp;OutputTable[[#This Row],[Type]]&amp;OutputTable[[#This Row],[Source]]</f>
        <v>Unnamed ProjectType2.NumberOutNumber OutEntity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9.1</v>
      </c>
      <c r="L99" cm="1">
        <f t="array" ref="L99">IFERROR(_xlfn.STDEV.S(IF((OutputTable[GroupByKey]=OutputTable[[#This Row],[GroupByKey]]),(OutputTable[GroupByKey]=OutputTable[[#This Row],[GroupByKey]])*OutputTable[RecordedValue])),0)</f>
        <v>1.3703203194062967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99" cm="1">
        <f t="array" ref="O99">MIN(IF((OutputTable[GroupByKey]=OutputTable[[#This Row],[GroupByKey]]),(OutputTable[GroupByKey]=OutputTable[[#This Row],[GroupByKey]])*OutputTable[RecordedValue]))</f>
        <v>7</v>
      </c>
      <c r="P99" cm="1">
        <f t="array" ref="P99">MAX(IF((OutputTable[GroupByKey]=OutputTable[[#This Row],[GroupByKey]]),(OutputTable[GroupByKey]=OutputTable[[#This Row],[GroupByKey]])*OutputTable[RecordedValue]))</f>
        <v>12</v>
      </c>
    </row>
    <row r="100" spans="1:16" x14ac:dyDescent="0.3">
      <c r="A100" t="s">
        <v>66</v>
      </c>
      <c r="B100" t="s">
        <v>68</v>
      </c>
      <c r="C100">
        <v>6</v>
      </c>
      <c r="D100" t="s">
        <v>119</v>
      </c>
      <c r="E100" t="s">
        <v>110</v>
      </c>
      <c r="F100" t="s">
        <v>82</v>
      </c>
      <c r="G100">
        <v>17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ProjectType3.NumberInNumber InEntity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12.7</v>
      </c>
      <c r="L100" cm="1">
        <f t="array" ref="L100">IFERROR(_xlfn.STDEV.S(IF((OutputTable[GroupByKey]=OutputTable[[#This Row],[GroupByKey]]),(OutputTable[GroupByKey]=OutputTable[[#This Row],[GroupByKey]])*OutputTable[RecordedValue])),0)</f>
        <v>2.7507574714370326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100" cm="1">
        <f t="array" ref="O100">MIN(IF((OutputTable[GroupByKey]=OutputTable[[#This Row],[GroupByKey]]),(OutputTable[GroupByKey]=OutputTable[[#This Row],[GroupByKey]])*OutputTable[RecordedValue]))</f>
        <v>8</v>
      </c>
      <c r="P100" cm="1">
        <f t="array" ref="P100">MAX(IF((OutputTable[GroupByKey]=OutputTable[[#This Row],[GroupByKey]]),(OutputTable[GroupByKey]=OutputTable[[#This Row],[GroupByKey]])*OutputTable[RecordedValue]))</f>
        <v>17</v>
      </c>
    </row>
    <row r="101" spans="1:16" x14ac:dyDescent="0.3">
      <c r="A101" t="s">
        <v>66</v>
      </c>
      <c r="B101" t="s">
        <v>68</v>
      </c>
      <c r="C101">
        <v>6</v>
      </c>
      <c r="D101" t="s">
        <v>120</v>
      </c>
      <c r="E101" t="s">
        <v>112</v>
      </c>
      <c r="F101" t="s">
        <v>82</v>
      </c>
      <c r="G101">
        <v>13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ProjectType3.NumberOutNumber OutEntity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11</v>
      </c>
      <c r="L101" cm="1">
        <f t="array" ref="L101">IFERROR(_xlfn.STDEV.S(IF((OutputTable[GroupByKey]=OutputTable[[#This Row],[GroupByKey]]),(OutputTable[GroupByKey]=OutputTable[[#This Row],[GroupByKey]])*OutputTable[RecordedValue])),0)</f>
        <v>2.1081851067789197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101" cm="1">
        <f t="array" ref="O101">MIN(IF((OutputTable[GroupByKey]=OutputTable[[#This Row],[GroupByKey]]),(OutputTable[GroupByKey]=OutputTable[[#This Row],[GroupByKey]])*OutputTable[RecordedValue]))</f>
        <v>8</v>
      </c>
      <c r="P101" cm="1">
        <f t="array" ref="P101">MAX(IF((OutputTable[GroupByKey]=OutputTable[[#This Row],[GroupByKey]]),(OutputTable[GroupByKey]=OutputTable[[#This Row],[GroupByKey]])*OutputTable[RecordedValue]))</f>
        <v>14</v>
      </c>
    </row>
    <row r="102" spans="1:16" x14ac:dyDescent="0.3">
      <c r="A102" t="s">
        <v>66</v>
      </c>
      <c r="B102" t="s">
        <v>68</v>
      </c>
      <c r="C102">
        <v>6</v>
      </c>
      <c r="D102" t="s">
        <v>121</v>
      </c>
      <c r="E102" t="s">
        <v>110</v>
      </c>
      <c r="F102" t="s">
        <v>82</v>
      </c>
      <c r="G102">
        <v>9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ProjectType4.NumberInNumber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12.5</v>
      </c>
      <c r="L102" cm="1">
        <f t="array" ref="L102">IFERROR(_xlfn.STDEV.S(IF((OutputTable[GroupByKey]=OutputTable[[#This Row],[GroupByKey]]),(OutputTable[GroupByKey]=OutputTable[[#This Row],[GroupByKey]])*OutputTable[RecordedValue])),0)</f>
        <v>2.2730302828309759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102" cm="1">
        <f t="array" ref="O102">MIN(IF((OutputTable[GroupByKey]=OutputTable[[#This Row],[GroupByKey]]),(OutputTable[GroupByKey]=OutputTable[[#This Row],[GroupByKey]])*OutputTable[RecordedValue]))</f>
        <v>9</v>
      </c>
      <c r="P102" cm="1">
        <f t="array" ref="P102">MAX(IF((OutputTable[GroupByKey]=OutputTable[[#This Row],[GroupByKey]]),(OutputTable[GroupByKey]=OutputTable[[#This Row],[GroupByKey]])*OutputTable[RecordedValue]))</f>
        <v>16</v>
      </c>
    </row>
    <row r="103" spans="1:16" x14ac:dyDescent="0.3">
      <c r="A103" t="s">
        <v>66</v>
      </c>
      <c r="B103" t="s">
        <v>68</v>
      </c>
      <c r="C103">
        <v>6</v>
      </c>
      <c r="D103" t="s">
        <v>122</v>
      </c>
      <c r="E103" t="s">
        <v>112</v>
      </c>
      <c r="F103" t="s">
        <v>82</v>
      </c>
      <c r="G103">
        <v>8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ProjectType4.NumberOutNumber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11.4</v>
      </c>
      <c r="L103" cm="1">
        <f t="array" ref="L103">IFERROR(_xlfn.STDEV.S(IF((OutputTable[GroupByKey]=OutputTable[[#This Row],[GroupByKey]]),(OutputTable[GroupByKey]=OutputTable[[#This Row],[GroupByKey]])*OutputTable[RecordedValue])),0)</f>
        <v>1.8378731669453656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103" cm="1">
        <f t="array" ref="O103">MIN(IF((OutputTable[GroupByKey]=OutputTable[[#This Row],[GroupByKey]]),(OutputTable[GroupByKey]=OutputTable[[#This Row],[GroupByKey]])*OutputTable[RecordedValue]))</f>
        <v>8</v>
      </c>
      <c r="P103" cm="1">
        <f t="array" ref="P103">MAX(IF((OutputTable[GroupByKey]=OutputTable[[#This Row],[GroupByKey]]),(OutputTable[GroupByKey]=OutputTable[[#This Row],[GroupByKey]])*OutputTable[RecordedValue]))</f>
        <v>14</v>
      </c>
    </row>
    <row r="104" spans="1:16" x14ac:dyDescent="0.3">
      <c r="A104" t="s">
        <v>66</v>
      </c>
      <c r="B104" t="s">
        <v>68</v>
      </c>
      <c r="C104">
        <v>7</v>
      </c>
      <c r="D104" t="s">
        <v>101</v>
      </c>
      <c r="E104" t="s">
        <v>102</v>
      </c>
      <c r="F104" t="s">
        <v>93</v>
      </c>
      <c r="G104">
        <v>36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35</v>
      </c>
      <c r="L104" cm="1">
        <f t="array" ref="L104">IFERROR(_xlfn.STDEV.S(IF((OutputTable[GroupByKey]=OutputTable[[#This Row],[GroupByKey]]),(OutputTable[GroupByKey]=OutputTable[[#This Row],[GroupByKey]])*OutputTable[RecordedValue])),0)</f>
        <v>1.7638342073763937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104" cm="1">
        <f t="array" ref="O104">MIN(IF((OutputTable[GroupByKey]=OutputTable[[#This Row],[GroupByKey]]),(OutputTable[GroupByKey]=OutputTable[[#This Row],[GroupByKey]])*OutputTable[RecordedValue]))</f>
        <v>32</v>
      </c>
      <c r="P104" cm="1">
        <f t="array" ref="P104">MAX(IF((OutputTable[GroupByKey]=OutputTable[[#This Row],[GroupByKey]]),(OutputTable[GroupByKey]=OutputTable[[#This Row],[GroupByKey]])*OutputTable[RecordedValue]))</f>
        <v>37</v>
      </c>
    </row>
    <row r="105" spans="1:16" x14ac:dyDescent="0.3">
      <c r="A105" t="s">
        <v>66</v>
      </c>
      <c r="B105" t="s">
        <v>68</v>
      </c>
      <c r="C105">
        <v>7</v>
      </c>
      <c r="D105" t="s">
        <v>103</v>
      </c>
      <c r="E105" t="s">
        <v>104</v>
      </c>
      <c r="F105" t="s">
        <v>93</v>
      </c>
      <c r="G105">
        <v>0.89664970452561799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0.83106107177752264</v>
      </c>
      <c r="L105" cm="1">
        <f t="array" ref="L105">IFERROR(_xlfn.STDEV.S(IF((OutputTable[GroupByKey]=OutputTable[[#This Row],[GroupByKey]]),(OutputTable[GroupByKey]=OutputTable[[#This Row],[GroupByKey]])*OutputTable[RecordedValue])),0)</f>
        <v>6.4548027001173278E-2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105" cm="1">
        <f t="array" ref="O105">MIN(IF((OutputTable[GroupByKey]=OutputTable[[#This Row],[GroupByKey]]),(OutputTable[GroupByKey]=OutputTable[[#This Row],[GroupByKey]])*OutputTable[RecordedValue]))</f>
        <v>0.70923148168898098</v>
      </c>
      <c r="P105" cm="1">
        <f t="array" ref="P105">MAX(IF((OutputTable[GroupByKey]=OutputTable[[#This Row],[GroupByKey]]),(OutputTable[GroupByKey]=OutputTable[[#This Row],[GroupByKey]])*OutputTable[RecordedValue]))</f>
        <v>0.92513911074198196</v>
      </c>
    </row>
    <row r="106" spans="1:16" x14ac:dyDescent="0.3">
      <c r="A106" t="s">
        <v>66</v>
      </c>
      <c r="B106" t="s">
        <v>68</v>
      </c>
      <c r="C106">
        <v>7</v>
      </c>
      <c r="D106" t="s">
        <v>105</v>
      </c>
      <c r="E106" t="s">
        <v>102</v>
      </c>
      <c r="F106" t="s">
        <v>93</v>
      </c>
      <c r="G106">
        <v>34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33.4</v>
      </c>
      <c r="L106" cm="1">
        <f t="array" ref="L106">IFERROR(_xlfn.STDEV.S(IF((OutputTable[GroupByKey]=OutputTable[[#This Row],[GroupByKey]]),(OutputTable[GroupByKey]=OutputTable[[#This Row],[GroupByKey]])*OutputTable[RecordedValue])),0)</f>
        <v>2.5905812303633931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106" cm="1">
        <f t="array" ref="O106">MIN(IF((OutputTable[GroupByKey]=OutputTable[[#This Row],[GroupByKey]]),(OutputTable[GroupByKey]=OutputTable[[#This Row],[GroupByKey]])*OutputTable[RecordedValue]))</f>
        <v>29</v>
      </c>
      <c r="P106" cm="1">
        <f t="array" ref="P106">MAX(IF((OutputTable[GroupByKey]=OutputTable[[#This Row],[GroupByKey]]),(OutputTable[GroupByKey]=OutputTable[[#This Row],[GroupByKey]])*OutputTable[RecordedValue]))</f>
        <v>37</v>
      </c>
    </row>
    <row r="107" spans="1:16" x14ac:dyDescent="0.3">
      <c r="A107" t="s">
        <v>66</v>
      </c>
      <c r="B107" t="s">
        <v>68</v>
      </c>
      <c r="C107">
        <v>7</v>
      </c>
      <c r="D107" t="s">
        <v>106</v>
      </c>
      <c r="E107" t="s">
        <v>104</v>
      </c>
      <c r="F107" t="s">
        <v>93</v>
      </c>
      <c r="G107">
        <v>0.85837000633203198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0.84520971658291411</v>
      </c>
      <c r="L107" cm="1">
        <f t="array" ref="L107">IFERROR(_xlfn.STDEV.S(IF((OutputTable[GroupByKey]=OutputTable[[#This Row],[GroupByKey]]),(OutputTable[GroupByKey]=OutputTable[[#This Row],[GroupByKey]])*OutputTable[RecordedValue])),0)</f>
        <v>6.1226598287413884E-2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107" cm="1">
        <f t="array" ref="O107">MIN(IF((OutputTable[GroupByKey]=OutputTable[[#This Row],[GroupByKey]]),(OutputTable[GroupByKey]=OutputTable[[#This Row],[GroupByKey]])*OutputTable[RecordedValue]))</f>
        <v>0.71728584076343305</v>
      </c>
      <c r="P107" cm="1">
        <f t="array" ref="P107">MAX(IF((OutputTable[GroupByKey]=OutputTable[[#This Row],[GroupByKey]]),(OutputTable[GroupByKey]=OutputTable[[#This Row],[GroupByKey]])*OutputTable[RecordedValue]))</f>
        <v>0.91938608785018705</v>
      </c>
    </row>
    <row r="108" spans="1:16" x14ac:dyDescent="0.3">
      <c r="A108" t="s">
        <v>66</v>
      </c>
      <c r="B108" t="s">
        <v>68</v>
      </c>
      <c r="C108">
        <v>7</v>
      </c>
      <c r="D108" t="s">
        <v>107</v>
      </c>
      <c r="E108" t="s">
        <v>102</v>
      </c>
      <c r="F108" t="s">
        <v>93</v>
      </c>
      <c r="G108">
        <v>30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32.6</v>
      </c>
      <c r="L108" cm="1">
        <f t="array" ref="L108">IFERROR(_xlfn.STDEV.S(IF((OutputTable[GroupByKey]=OutputTable[[#This Row],[GroupByKey]]),(OutputTable[GroupByKey]=OutputTable[[#This Row],[GroupByKey]])*OutputTable[RecordedValue])),0)</f>
        <v>2.5473297566057069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108" cm="1">
        <f t="array" ref="O108">MIN(IF((OutputTable[GroupByKey]=OutputTable[[#This Row],[GroupByKey]]),(OutputTable[GroupByKey]=OutputTable[[#This Row],[GroupByKey]])*OutputTable[RecordedValue]))</f>
        <v>29</v>
      </c>
      <c r="P108" cm="1">
        <f t="array" ref="P108">MAX(IF((OutputTable[GroupByKey]=OutputTable[[#This Row],[GroupByKey]]),(OutputTable[GroupByKey]=OutputTable[[#This Row],[GroupByKey]])*OutputTable[RecordedValue]))</f>
        <v>37</v>
      </c>
    </row>
    <row r="109" spans="1:16" x14ac:dyDescent="0.3">
      <c r="A109" t="s">
        <v>66</v>
      </c>
      <c r="B109" t="s">
        <v>68</v>
      </c>
      <c r="C109">
        <v>7</v>
      </c>
      <c r="D109" t="s">
        <v>108</v>
      </c>
      <c r="E109" t="s">
        <v>104</v>
      </c>
      <c r="F109" t="s">
        <v>93</v>
      </c>
      <c r="G109">
        <v>0.73089144561516906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0.77733493379426299</v>
      </c>
      <c r="L109" cm="1">
        <f t="array" ref="L109">IFERROR(_xlfn.STDEV.S(IF((OutputTable[GroupByKey]=OutputTable[[#This Row],[GroupByKey]]),(OutputTable[GroupByKey]=OutputTable[[#This Row],[GroupByKey]])*OutputTable[RecordedValue])),0)</f>
        <v>6.75490523663973E-2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109" cm="1">
        <f t="array" ref="O109">MIN(IF((OutputTable[GroupByKey]=OutputTable[[#This Row],[GroupByKey]]),(OutputTable[GroupByKey]=OutputTable[[#This Row],[GroupByKey]])*OutputTable[RecordedValue]))</f>
        <v>0.69586636126078405</v>
      </c>
      <c r="P109" cm="1">
        <f t="array" ref="P109">MAX(IF((OutputTable[GroupByKey]=OutputTable[[#This Row],[GroupByKey]]),(OutputTable[GroupByKey]=OutputTable[[#This Row],[GroupByKey]])*OutputTable[RecordedValue]))</f>
        <v>0.89372434220669095</v>
      </c>
    </row>
    <row r="110" spans="1:16" x14ac:dyDescent="0.3">
      <c r="A110" t="s">
        <v>66</v>
      </c>
      <c r="B110" t="s">
        <v>68</v>
      </c>
      <c r="C110">
        <v>7</v>
      </c>
      <c r="D110" t="s">
        <v>109</v>
      </c>
      <c r="E110" t="s">
        <v>110</v>
      </c>
      <c r="F110" t="s">
        <v>82</v>
      </c>
      <c r="G110">
        <v>49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ProjectPiece.NumberInNumber InEntity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49</v>
      </c>
      <c r="L110" cm="1">
        <f t="array" ref="L110">IFERROR(_xlfn.STDEV.S(IF((OutputTable[GroupByKey]=OutputTable[[#This Row],[GroupByKey]]),(OutputTable[GroupByKey]=OutputTable[[#This Row],[GroupByKey]])*OutputTable[RecordedValue])),0)</f>
        <v>0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cm="1">
        <f t="array" ref="O110">MIN(IF((OutputTable[GroupByKey]=OutputTable[[#This Row],[GroupByKey]]),(OutputTable[GroupByKey]=OutputTable[[#This Row],[GroupByKey]])*OutputTable[RecordedValue]))</f>
        <v>49</v>
      </c>
      <c r="P110" cm="1">
        <f t="array" ref="P110">MAX(IF((OutputTable[GroupByKey]=OutputTable[[#This Row],[GroupByKey]]),(OutputTable[GroupByKey]=OutputTable[[#This Row],[GroupByKey]])*OutputTable[RecordedValue]))</f>
        <v>49</v>
      </c>
    </row>
    <row r="111" spans="1:16" x14ac:dyDescent="0.3">
      <c r="A111" t="s">
        <v>66</v>
      </c>
      <c r="B111" t="s">
        <v>68</v>
      </c>
      <c r="C111">
        <v>7</v>
      </c>
      <c r="D111" t="s">
        <v>111</v>
      </c>
      <c r="E111" t="s">
        <v>112</v>
      </c>
      <c r="F111" t="s">
        <v>82</v>
      </c>
      <c r="G111">
        <v>49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ProjectPiece.NumberOutNumber OutEntity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49</v>
      </c>
      <c r="L111" cm="1">
        <f t="array" ref="L111">IFERROR(_xlfn.STDEV.S(IF((OutputTable[GroupByKey]=OutputTable[[#This Row],[GroupByKey]]),(OutputTable[GroupByKey]=OutputTable[[#This Row],[GroupByKey]])*OutputTable[RecordedValue])),0)</f>
        <v>0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" cm="1">
        <f t="array" ref="O111">MIN(IF((OutputTable[GroupByKey]=OutputTable[[#This Row],[GroupByKey]]),(OutputTable[GroupByKey]=OutputTable[[#This Row],[GroupByKey]])*OutputTable[RecordedValue]))</f>
        <v>49</v>
      </c>
      <c r="P111" cm="1">
        <f t="array" ref="P111">MAX(IF((OutputTable[GroupByKey]=OutputTable[[#This Row],[GroupByKey]]),(OutputTable[GroupByKey]=OutputTable[[#This Row],[GroupByKey]])*OutputTable[RecordedValue]))</f>
        <v>49</v>
      </c>
    </row>
    <row r="112" spans="1:16" x14ac:dyDescent="0.3">
      <c r="A112" t="s">
        <v>66</v>
      </c>
      <c r="B112" t="s">
        <v>68</v>
      </c>
      <c r="C112">
        <v>7</v>
      </c>
      <c r="D112" t="s">
        <v>113</v>
      </c>
      <c r="E112" t="s">
        <v>112</v>
      </c>
      <c r="F112" t="s">
        <v>114</v>
      </c>
      <c r="G112">
        <v>41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ProjectSystem.NumberOutNumber OutSystem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42.6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1.0749676997731399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112" s="5" cm="1">
        <f t="array" ref="O112">MIN(IF((OutputTable[GroupByKey]=OutputTable[[#This Row],[GroupByKey]]),(OutputTable[GroupByKey]=OutputTable[[#This Row],[GroupByKey]])*OutputTable[RecordedValue]))</f>
        <v>41</v>
      </c>
      <c r="P112" s="5" cm="1">
        <f t="array" ref="P112">MAX(IF((OutputTable[GroupByKey]=OutputTable[[#This Row],[GroupByKey]]),(OutputTable[GroupByKey]=OutputTable[[#This Row],[GroupByKey]])*OutputTable[RecordedValue]))</f>
        <v>44</v>
      </c>
    </row>
    <row r="113" spans="1:16" x14ac:dyDescent="0.3">
      <c r="A113" t="s">
        <v>66</v>
      </c>
      <c r="B113" t="s">
        <v>68</v>
      </c>
      <c r="C113">
        <v>7</v>
      </c>
      <c r="D113" t="s">
        <v>115</v>
      </c>
      <c r="E113" t="s">
        <v>110</v>
      </c>
      <c r="F113" t="s">
        <v>82</v>
      </c>
      <c r="G113">
        <v>12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ProjectType1.NumberInNumber InEntity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12.5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2.9154759474226504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113" s="5" cm="1">
        <f t="array" ref="O113">MIN(IF((OutputTable[GroupByKey]=OutputTable[[#This Row],[GroupByKey]]),(OutputTable[GroupByKey]=OutputTable[[#This Row],[GroupByKey]])*OutputTable[RecordedValue]))</f>
        <v>9</v>
      </c>
      <c r="P113" s="5" cm="1">
        <f t="array" ref="P113">MAX(IF((OutputTable[GroupByKey]=OutputTable[[#This Row],[GroupByKey]]),(OutputTable[GroupByKey]=OutputTable[[#This Row],[GroupByKey]])*OutputTable[RecordedValue]))</f>
        <v>18</v>
      </c>
    </row>
    <row r="114" spans="1:16" x14ac:dyDescent="0.3">
      <c r="A114" t="s">
        <v>66</v>
      </c>
      <c r="B114" t="s">
        <v>68</v>
      </c>
      <c r="C114">
        <v>7</v>
      </c>
      <c r="D114" t="s">
        <v>116</v>
      </c>
      <c r="E114" t="s">
        <v>112</v>
      </c>
      <c r="F114" t="s">
        <v>82</v>
      </c>
      <c r="G114">
        <v>10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ProjectType1.NumberOutNumber OutEntity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11.1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2.6436506745197819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114" s="5" cm="1">
        <f t="array" ref="O114">MIN(IF((OutputTable[GroupByKey]=OutputTable[[#This Row],[GroupByKey]]),(OutputTable[GroupByKey]=OutputTable[[#This Row],[GroupByKey]])*OutputTable[RecordedValue]))</f>
        <v>8</v>
      </c>
      <c r="P114" s="5" cm="1">
        <f t="array" ref="P114">MAX(IF((OutputTable[GroupByKey]=OutputTable[[#This Row],[GroupByKey]]),(OutputTable[GroupByKey]=OutputTable[[#This Row],[GroupByKey]])*OutputTable[RecordedValue]))</f>
        <v>16</v>
      </c>
    </row>
    <row r="115" spans="1:16" x14ac:dyDescent="0.3">
      <c r="A115" t="s">
        <v>66</v>
      </c>
      <c r="B115" t="s">
        <v>68</v>
      </c>
      <c r="C115">
        <v>7</v>
      </c>
      <c r="D115" t="s">
        <v>117</v>
      </c>
      <c r="E115" t="s">
        <v>110</v>
      </c>
      <c r="F115" t="s">
        <v>82</v>
      </c>
      <c r="G115">
        <v>13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ProjectType2.NumberInNumber InEntity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11.3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1.7029386365926371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115" s="5" cm="1">
        <f t="array" ref="O115">MIN(IF((OutputTable[GroupByKey]=OutputTable[[#This Row],[GroupByKey]]),(OutputTable[GroupByKey]=OutputTable[[#This Row],[GroupByKey]])*OutputTable[RecordedValue]))</f>
        <v>9</v>
      </c>
      <c r="P115" s="5" cm="1">
        <f t="array" ref="P115">MAX(IF((OutputTable[GroupByKey]=OutputTable[[#This Row],[GroupByKey]]),(OutputTable[GroupByKey]=OutputTable[[#This Row],[GroupByKey]])*OutputTable[RecordedValue]))</f>
        <v>14</v>
      </c>
    </row>
    <row r="116" spans="1:16" x14ac:dyDescent="0.3">
      <c r="A116" t="s">
        <v>66</v>
      </c>
      <c r="B116" t="s">
        <v>68</v>
      </c>
      <c r="C116">
        <v>7</v>
      </c>
      <c r="D116" t="s">
        <v>118</v>
      </c>
      <c r="E116" t="s">
        <v>112</v>
      </c>
      <c r="F116" t="s">
        <v>82</v>
      </c>
      <c r="G116">
        <v>9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ProjectType2.NumberOutNumber OutEntity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9.1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1.3703203194062967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116" s="5" cm="1">
        <f t="array" ref="O116">MIN(IF((OutputTable[GroupByKey]=OutputTable[[#This Row],[GroupByKey]]),(OutputTable[GroupByKey]=OutputTable[[#This Row],[GroupByKey]])*OutputTable[RecordedValue]))</f>
        <v>7</v>
      </c>
      <c r="P116" s="5" cm="1">
        <f t="array" ref="P116">MAX(IF((OutputTable[GroupByKey]=OutputTable[[#This Row],[GroupByKey]]),(OutputTable[GroupByKey]=OutputTable[[#This Row],[GroupByKey]])*OutputTable[RecordedValue]))</f>
        <v>12</v>
      </c>
    </row>
    <row r="117" spans="1:16" x14ac:dyDescent="0.3">
      <c r="A117" t="s">
        <v>66</v>
      </c>
      <c r="B117" t="s">
        <v>68</v>
      </c>
      <c r="C117">
        <v>7</v>
      </c>
      <c r="D117" t="s">
        <v>119</v>
      </c>
      <c r="E117" t="s">
        <v>110</v>
      </c>
      <c r="F117" t="s">
        <v>82</v>
      </c>
      <c r="G117">
        <v>12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ProjectType3.NumberInNumber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12.7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2.7507574714370326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117" s="5" cm="1">
        <f t="array" ref="O117">MIN(IF((OutputTable[GroupByKey]=OutputTable[[#This Row],[GroupByKey]]),(OutputTable[GroupByKey]=OutputTable[[#This Row],[GroupByKey]])*OutputTable[RecordedValue]))</f>
        <v>8</v>
      </c>
      <c r="P117" s="5" cm="1">
        <f t="array" ref="P117">MAX(IF((OutputTable[GroupByKey]=OutputTable[[#This Row],[GroupByKey]]),(OutputTable[GroupByKey]=OutputTable[[#This Row],[GroupByKey]])*OutputTable[RecordedValue]))</f>
        <v>17</v>
      </c>
    </row>
    <row r="118" spans="1:16" x14ac:dyDescent="0.3">
      <c r="A118" t="s">
        <v>66</v>
      </c>
      <c r="B118" t="s">
        <v>68</v>
      </c>
      <c r="C118">
        <v>7</v>
      </c>
      <c r="D118" t="s">
        <v>120</v>
      </c>
      <c r="E118" t="s">
        <v>112</v>
      </c>
      <c r="F118" t="s">
        <v>82</v>
      </c>
      <c r="G118">
        <v>12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ProjectType3.NumberOutNumber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11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2.1081851067789197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118" s="5" cm="1">
        <f t="array" ref="O118">MIN(IF((OutputTable[GroupByKey]=OutputTable[[#This Row],[GroupByKey]]),(OutputTable[GroupByKey]=OutputTable[[#This Row],[GroupByKey]])*OutputTable[RecordedValue]))</f>
        <v>8</v>
      </c>
      <c r="P118" s="5" cm="1">
        <f t="array" ref="P118">MAX(IF((OutputTable[GroupByKey]=OutputTable[[#This Row],[GroupByKey]]),(OutputTable[GroupByKey]=OutputTable[[#This Row],[GroupByKey]])*OutputTable[RecordedValue]))</f>
        <v>14</v>
      </c>
    </row>
    <row r="119" spans="1:16" x14ac:dyDescent="0.3">
      <c r="A119" t="s">
        <v>66</v>
      </c>
      <c r="B119" t="s">
        <v>68</v>
      </c>
      <c r="C119">
        <v>7</v>
      </c>
      <c r="D119" t="s">
        <v>121</v>
      </c>
      <c r="E119" t="s">
        <v>110</v>
      </c>
      <c r="F119" t="s">
        <v>82</v>
      </c>
      <c r="G119">
        <v>12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ProjectType4.NumberInNumber InEntity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12.5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2.2730302828309759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119" s="5" cm="1">
        <f t="array" ref="O119">MIN(IF((OutputTable[GroupByKey]=OutputTable[[#This Row],[GroupByKey]]),(OutputTable[GroupByKey]=OutputTable[[#This Row],[GroupByKey]])*OutputTable[RecordedValue]))</f>
        <v>9</v>
      </c>
      <c r="P119" s="5" cm="1">
        <f t="array" ref="P119">MAX(IF((OutputTable[GroupByKey]=OutputTable[[#This Row],[GroupByKey]]),(OutputTable[GroupByKey]=OutputTable[[#This Row],[GroupByKey]])*OutputTable[RecordedValue]))</f>
        <v>16</v>
      </c>
    </row>
    <row r="120" spans="1:16" x14ac:dyDescent="0.3">
      <c r="A120" t="s">
        <v>66</v>
      </c>
      <c r="B120" t="s">
        <v>68</v>
      </c>
      <c r="C120">
        <v>7</v>
      </c>
      <c r="D120" t="s">
        <v>122</v>
      </c>
      <c r="E120" t="s">
        <v>112</v>
      </c>
      <c r="F120" t="s">
        <v>82</v>
      </c>
      <c r="G120">
        <v>10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ProjectType4.NumberOutNumber OutEntity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11.4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1.8378731669453656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120" s="5" cm="1">
        <f t="array" ref="O120">MIN(IF((OutputTable[GroupByKey]=OutputTable[[#This Row],[GroupByKey]]),(OutputTable[GroupByKey]=OutputTable[[#This Row],[GroupByKey]])*OutputTable[RecordedValue]))</f>
        <v>8</v>
      </c>
      <c r="P120" s="5" cm="1">
        <f t="array" ref="P120">MAX(IF((OutputTable[GroupByKey]=OutputTable[[#This Row],[GroupByKey]]),(OutputTable[GroupByKey]=OutputTable[[#This Row],[GroupByKey]])*OutputTable[RecordedValue]))</f>
        <v>14</v>
      </c>
    </row>
    <row r="121" spans="1:16" x14ac:dyDescent="0.3">
      <c r="A121" t="s">
        <v>66</v>
      </c>
      <c r="B121" t="s">
        <v>68</v>
      </c>
      <c r="C121">
        <v>8</v>
      </c>
      <c r="D121" t="s">
        <v>101</v>
      </c>
      <c r="E121" t="s">
        <v>102</v>
      </c>
      <c r="F121" t="s">
        <v>93</v>
      </c>
      <c r="G121">
        <v>33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35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1.7638342073763937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121" s="5" cm="1">
        <f t="array" ref="O121">MIN(IF((OutputTable[GroupByKey]=OutputTable[[#This Row],[GroupByKey]]),(OutputTable[GroupByKey]=OutputTable[[#This Row],[GroupByKey]])*OutputTable[RecordedValue]))</f>
        <v>32</v>
      </c>
      <c r="P121" s="5" cm="1">
        <f t="array" ref="P121">MAX(IF((OutputTable[GroupByKey]=OutputTable[[#This Row],[GroupByKey]]),(OutputTable[GroupByKey]=OutputTable[[#This Row],[GroupByKey]])*OutputTable[RecordedValue]))</f>
        <v>37</v>
      </c>
    </row>
    <row r="122" spans="1:16" x14ac:dyDescent="0.3">
      <c r="A122" t="s">
        <v>66</v>
      </c>
      <c r="B122" t="s">
        <v>68</v>
      </c>
      <c r="C122">
        <v>8</v>
      </c>
      <c r="D122" t="s">
        <v>103</v>
      </c>
      <c r="E122" t="s">
        <v>104</v>
      </c>
      <c r="F122" t="s">
        <v>93</v>
      </c>
      <c r="G122">
        <v>0.78750872668755401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0.83106107177752264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6.4548027001173278E-2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122" s="5" cm="1">
        <f t="array" ref="O122">MIN(IF((OutputTable[GroupByKey]=OutputTable[[#This Row],[GroupByKey]]),(OutputTable[GroupByKey]=OutputTable[[#This Row],[GroupByKey]])*OutputTable[RecordedValue]))</f>
        <v>0.70923148168898098</v>
      </c>
      <c r="P122" s="5" cm="1">
        <f t="array" ref="P122">MAX(IF((OutputTable[GroupByKey]=OutputTable[[#This Row],[GroupByKey]]),(OutputTable[GroupByKey]=OutputTable[[#This Row],[GroupByKey]])*OutputTable[RecordedValue]))</f>
        <v>0.92513911074198196</v>
      </c>
    </row>
    <row r="123" spans="1:16" x14ac:dyDescent="0.3">
      <c r="A123" t="s">
        <v>66</v>
      </c>
      <c r="B123" t="s">
        <v>68</v>
      </c>
      <c r="C123">
        <v>8</v>
      </c>
      <c r="D123" t="s">
        <v>105</v>
      </c>
      <c r="E123" t="s">
        <v>102</v>
      </c>
      <c r="F123" t="s">
        <v>93</v>
      </c>
      <c r="G123">
        <v>36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33.4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2.5905812303633931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123" s="5" cm="1">
        <f t="array" ref="O123">MIN(IF((OutputTable[GroupByKey]=OutputTable[[#This Row],[GroupByKey]]),(OutputTable[GroupByKey]=OutputTable[[#This Row],[GroupByKey]])*OutputTable[RecordedValue]))</f>
        <v>29</v>
      </c>
      <c r="P123" s="5" cm="1">
        <f t="array" ref="P123">MAX(IF((OutputTable[GroupByKey]=OutputTable[[#This Row],[GroupByKey]]),(OutputTable[GroupByKey]=OutputTable[[#This Row],[GroupByKey]])*OutputTable[RecordedValue]))</f>
        <v>37</v>
      </c>
    </row>
    <row r="124" spans="1:16" x14ac:dyDescent="0.3">
      <c r="A124" t="s">
        <v>66</v>
      </c>
      <c r="B124" t="s">
        <v>68</v>
      </c>
      <c r="C124">
        <v>8</v>
      </c>
      <c r="D124" t="s">
        <v>106</v>
      </c>
      <c r="E124" t="s">
        <v>104</v>
      </c>
      <c r="F124" t="s">
        <v>93</v>
      </c>
      <c r="G124">
        <v>0.91225274068705997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0.84520971658291411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6.1226598287413884E-2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124" s="5" cm="1">
        <f t="array" ref="O124">MIN(IF((OutputTable[GroupByKey]=OutputTable[[#This Row],[GroupByKey]]),(OutputTable[GroupByKey]=OutputTable[[#This Row],[GroupByKey]])*OutputTable[RecordedValue]))</f>
        <v>0.71728584076343305</v>
      </c>
      <c r="P124" s="5" cm="1">
        <f t="array" ref="P124">MAX(IF((OutputTable[GroupByKey]=OutputTable[[#This Row],[GroupByKey]]),(OutputTable[GroupByKey]=OutputTable[[#This Row],[GroupByKey]])*OutputTable[RecordedValue]))</f>
        <v>0.91938608785018705</v>
      </c>
    </row>
    <row r="125" spans="1:16" x14ac:dyDescent="0.3">
      <c r="A125" t="s">
        <v>66</v>
      </c>
      <c r="B125" t="s">
        <v>68</v>
      </c>
      <c r="C125">
        <v>8</v>
      </c>
      <c r="D125" t="s">
        <v>107</v>
      </c>
      <c r="E125" t="s">
        <v>102</v>
      </c>
      <c r="F125" t="s">
        <v>93</v>
      </c>
      <c r="G125">
        <v>31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32.6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2.5473297566057069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125" s="5" cm="1">
        <f t="array" ref="O125">MIN(IF((OutputTable[GroupByKey]=OutputTable[[#This Row],[GroupByKey]]),(OutputTable[GroupByKey]=OutputTable[[#This Row],[GroupByKey]])*OutputTable[RecordedValue]))</f>
        <v>29</v>
      </c>
      <c r="P125" s="5" cm="1">
        <f t="array" ref="P125">MAX(IF((OutputTable[GroupByKey]=OutputTable[[#This Row],[GroupByKey]]),(OutputTable[GroupByKey]=OutputTable[[#This Row],[GroupByKey]])*OutputTable[RecordedValue]))</f>
        <v>37</v>
      </c>
    </row>
    <row r="126" spans="1:16" x14ac:dyDescent="0.3">
      <c r="A126" t="s">
        <v>66</v>
      </c>
      <c r="B126" t="s">
        <v>68</v>
      </c>
      <c r="C126">
        <v>8</v>
      </c>
      <c r="D126" t="s">
        <v>108</v>
      </c>
      <c r="E126" t="s">
        <v>104</v>
      </c>
      <c r="F126" t="s">
        <v>93</v>
      </c>
      <c r="G126">
        <v>0.72793678885355895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0.77733493379426299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6.75490523663973E-2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126" s="5" cm="1">
        <f t="array" ref="O126">MIN(IF((OutputTable[GroupByKey]=OutputTable[[#This Row],[GroupByKey]]),(OutputTable[GroupByKey]=OutputTable[[#This Row],[GroupByKey]])*OutputTable[RecordedValue]))</f>
        <v>0.69586636126078405</v>
      </c>
      <c r="P126" s="5" cm="1">
        <f t="array" ref="P126">MAX(IF((OutputTable[GroupByKey]=OutputTable[[#This Row],[GroupByKey]]),(OutputTable[GroupByKey]=OutputTable[[#This Row],[GroupByKey]])*OutputTable[RecordedValue]))</f>
        <v>0.89372434220669095</v>
      </c>
    </row>
    <row r="127" spans="1:16" x14ac:dyDescent="0.3">
      <c r="A127" t="s">
        <v>66</v>
      </c>
      <c r="B127" t="s">
        <v>68</v>
      </c>
      <c r="C127">
        <v>8</v>
      </c>
      <c r="D127" t="s">
        <v>109</v>
      </c>
      <c r="E127" t="s">
        <v>110</v>
      </c>
      <c r="F127" t="s">
        <v>82</v>
      </c>
      <c r="G127">
        <v>49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ProjectPiece.NumberInNumber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49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s="5" cm="1">
        <f t="array" ref="O127">MIN(IF((OutputTable[GroupByKey]=OutputTable[[#This Row],[GroupByKey]]),(OutputTable[GroupByKey]=OutputTable[[#This Row],[GroupByKey]])*OutputTable[RecordedValue]))</f>
        <v>49</v>
      </c>
      <c r="P127" s="5" cm="1">
        <f t="array" ref="P127">MAX(IF((OutputTable[GroupByKey]=OutputTable[[#This Row],[GroupByKey]]),(OutputTable[GroupByKey]=OutputTable[[#This Row],[GroupByKey]])*OutputTable[RecordedValue]))</f>
        <v>49</v>
      </c>
    </row>
    <row r="128" spans="1:16" x14ac:dyDescent="0.3">
      <c r="A128" t="s">
        <v>66</v>
      </c>
      <c r="B128" t="s">
        <v>68</v>
      </c>
      <c r="C128">
        <v>8</v>
      </c>
      <c r="D128" t="s">
        <v>111</v>
      </c>
      <c r="E128" t="s">
        <v>112</v>
      </c>
      <c r="F128" t="s">
        <v>82</v>
      </c>
      <c r="G128">
        <v>49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ProjectPiece.NumberOutNumber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49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s="5" cm="1">
        <f t="array" ref="O128">MIN(IF((OutputTable[GroupByKey]=OutputTable[[#This Row],[GroupByKey]]),(OutputTable[GroupByKey]=OutputTable[[#This Row],[GroupByKey]])*OutputTable[RecordedValue]))</f>
        <v>49</v>
      </c>
      <c r="P128" s="5" cm="1">
        <f t="array" ref="P128">MAX(IF((OutputTable[GroupByKey]=OutputTable[[#This Row],[GroupByKey]]),(OutputTable[GroupByKey]=OutputTable[[#This Row],[GroupByKey]])*OutputTable[RecordedValue]))</f>
        <v>49</v>
      </c>
    </row>
    <row r="129" spans="1:16" x14ac:dyDescent="0.3">
      <c r="A129" t="s">
        <v>66</v>
      </c>
      <c r="B129" t="s">
        <v>68</v>
      </c>
      <c r="C129">
        <v>8</v>
      </c>
      <c r="D129" t="s">
        <v>113</v>
      </c>
      <c r="E129" t="s">
        <v>112</v>
      </c>
      <c r="F129" t="s">
        <v>114</v>
      </c>
      <c r="G129">
        <v>43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ProjectSystem.NumberOutNumber OutSystem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42.6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1.0749676997731399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129" s="5" cm="1">
        <f t="array" ref="O129">MIN(IF((OutputTable[GroupByKey]=OutputTable[[#This Row],[GroupByKey]]),(OutputTable[GroupByKey]=OutputTable[[#This Row],[GroupByKey]])*OutputTable[RecordedValue]))</f>
        <v>41</v>
      </c>
      <c r="P129" s="5" cm="1">
        <f t="array" ref="P129">MAX(IF((OutputTable[GroupByKey]=OutputTable[[#This Row],[GroupByKey]]),(OutputTable[GroupByKey]=OutputTable[[#This Row],[GroupByKey]])*OutputTable[RecordedValue]))</f>
        <v>44</v>
      </c>
    </row>
    <row r="130" spans="1:16" x14ac:dyDescent="0.3">
      <c r="A130" t="s">
        <v>66</v>
      </c>
      <c r="B130" t="s">
        <v>68</v>
      </c>
      <c r="C130">
        <v>8</v>
      </c>
      <c r="D130" t="s">
        <v>115</v>
      </c>
      <c r="E130" t="s">
        <v>110</v>
      </c>
      <c r="F130" t="s">
        <v>82</v>
      </c>
      <c r="G130">
        <v>10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ProjectType1.NumberInNumber InEntity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12.5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2.9154759474226504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130" s="5" cm="1">
        <f t="array" ref="O130">MIN(IF((OutputTable[GroupByKey]=OutputTable[[#This Row],[GroupByKey]]),(OutputTable[GroupByKey]=OutputTable[[#This Row],[GroupByKey]])*OutputTable[RecordedValue]))</f>
        <v>9</v>
      </c>
      <c r="P130" s="5" cm="1">
        <f t="array" ref="P130">MAX(IF((OutputTable[GroupByKey]=OutputTable[[#This Row],[GroupByKey]]),(OutputTable[GroupByKey]=OutputTable[[#This Row],[GroupByKey]])*OutputTable[RecordedValue]))</f>
        <v>18</v>
      </c>
    </row>
    <row r="131" spans="1:16" x14ac:dyDescent="0.3">
      <c r="A131" t="s">
        <v>66</v>
      </c>
      <c r="B131" t="s">
        <v>68</v>
      </c>
      <c r="C131">
        <v>8</v>
      </c>
      <c r="D131" t="s">
        <v>116</v>
      </c>
      <c r="E131" t="s">
        <v>112</v>
      </c>
      <c r="F131" t="s">
        <v>82</v>
      </c>
      <c r="G131">
        <v>8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ProjectType1.NumberOutNumber OutEntity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11.1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2.6436506745197819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131" s="5" cm="1">
        <f t="array" ref="O131">MIN(IF((OutputTable[GroupByKey]=OutputTable[[#This Row],[GroupByKey]]),(OutputTable[GroupByKey]=OutputTable[[#This Row],[GroupByKey]])*OutputTable[RecordedValue]))</f>
        <v>8</v>
      </c>
      <c r="P131" s="5" cm="1">
        <f t="array" ref="P131">MAX(IF((OutputTable[GroupByKey]=OutputTable[[#This Row],[GroupByKey]]),(OutputTable[GroupByKey]=OutputTable[[#This Row],[GroupByKey]])*OutputTable[RecordedValue]))</f>
        <v>16</v>
      </c>
    </row>
    <row r="132" spans="1:16" x14ac:dyDescent="0.3">
      <c r="A132" t="s">
        <v>66</v>
      </c>
      <c r="B132" t="s">
        <v>68</v>
      </c>
      <c r="C132">
        <v>8</v>
      </c>
      <c r="D132" t="s">
        <v>117</v>
      </c>
      <c r="E132" t="s">
        <v>110</v>
      </c>
      <c r="F132" t="s">
        <v>82</v>
      </c>
      <c r="G132">
        <v>9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ProjectType2.NumberInNumber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11.3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1.7029386365926371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132" s="5" cm="1">
        <f t="array" ref="O132">MIN(IF((OutputTable[GroupByKey]=OutputTable[[#This Row],[GroupByKey]]),(OutputTable[GroupByKey]=OutputTable[[#This Row],[GroupByKey]])*OutputTable[RecordedValue]))</f>
        <v>9</v>
      </c>
      <c r="P132" s="5" cm="1">
        <f t="array" ref="P132">MAX(IF((OutputTable[GroupByKey]=OutputTable[[#This Row],[GroupByKey]]),(OutputTable[GroupByKey]=OutputTable[[#This Row],[GroupByKey]])*OutputTable[RecordedValue]))</f>
        <v>14</v>
      </c>
    </row>
    <row r="133" spans="1:16" x14ac:dyDescent="0.3">
      <c r="A133" t="s">
        <v>66</v>
      </c>
      <c r="B133" t="s">
        <v>68</v>
      </c>
      <c r="C133">
        <v>8</v>
      </c>
      <c r="D133" t="s">
        <v>118</v>
      </c>
      <c r="E133" t="s">
        <v>112</v>
      </c>
      <c r="F133" t="s">
        <v>82</v>
      </c>
      <c r="G133">
        <v>8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ProjectType2.NumberOutNumber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9.1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1.3703203194062967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133" s="5" cm="1">
        <f t="array" ref="O133">MIN(IF((OutputTable[GroupByKey]=OutputTable[[#This Row],[GroupByKey]]),(OutputTable[GroupByKey]=OutputTable[[#This Row],[GroupByKey]])*OutputTable[RecordedValue]))</f>
        <v>7</v>
      </c>
      <c r="P133" s="5" cm="1">
        <f t="array" ref="P133">MAX(IF((OutputTable[GroupByKey]=OutputTable[[#This Row],[GroupByKey]]),(OutputTable[GroupByKey]=OutputTable[[#This Row],[GroupByKey]])*OutputTable[RecordedValue]))</f>
        <v>12</v>
      </c>
    </row>
    <row r="134" spans="1:16" x14ac:dyDescent="0.3">
      <c r="A134" t="s">
        <v>66</v>
      </c>
      <c r="B134" t="s">
        <v>68</v>
      </c>
      <c r="C134">
        <v>8</v>
      </c>
      <c r="D134" t="s">
        <v>119</v>
      </c>
      <c r="E134" t="s">
        <v>110</v>
      </c>
      <c r="F134" t="s">
        <v>82</v>
      </c>
      <c r="G134">
        <v>15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ProjectType3.NumberInNumber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12.7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2.7507574714370326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134" s="5" cm="1">
        <f t="array" ref="O134">MIN(IF((OutputTable[GroupByKey]=OutputTable[[#This Row],[GroupByKey]]),(OutputTable[GroupByKey]=OutputTable[[#This Row],[GroupByKey]])*OutputTable[RecordedValue]))</f>
        <v>8</v>
      </c>
      <c r="P134" s="5" cm="1">
        <f t="array" ref="P134">MAX(IF((OutputTable[GroupByKey]=OutputTable[[#This Row],[GroupByKey]]),(OutputTable[GroupByKey]=OutputTable[[#This Row],[GroupByKey]])*OutputTable[RecordedValue]))</f>
        <v>17</v>
      </c>
    </row>
    <row r="135" spans="1:16" x14ac:dyDescent="0.3">
      <c r="A135" t="s">
        <v>66</v>
      </c>
      <c r="B135" t="s">
        <v>68</v>
      </c>
      <c r="C135">
        <v>8</v>
      </c>
      <c r="D135" t="s">
        <v>120</v>
      </c>
      <c r="E135" t="s">
        <v>112</v>
      </c>
      <c r="F135" t="s">
        <v>82</v>
      </c>
      <c r="G135">
        <v>13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ProjectType3.NumberOutNumber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11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2.1081851067789197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135" s="5" cm="1">
        <f t="array" ref="O135">MIN(IF((OutputTable[GroupByKey]=OutputTable[[#This Row],[GroupByKey]]),(OutputTable[GroupByKey]=OutputTable[[#This Row],[GroupByKey]])*OutputTable[RecordedValue]))</f>
        <v>8</v>
      </c>
      <c r="P135" s="5" cm="1">
        <f t="array" ref="P135">MAX(IF((OutputTable[GroupByKey]=OutputTable[[#This Row],[GroupByKey]]),(OutputTable[GroupByKey]=OutputTable[[#This Row],[GroupByKey]])*OutputTable[RecordedValue]))</f>
        <v>14</v>
      </c>
    </row>
    <row r="136" spans="1:16" x14ac:dyDescent="0.3">
      <c r="A136" t="s">
        <v>66</v>
      </c>
      <c r="B136" t="s">
        <v>68</v>
      </c>
      <c r="C136">
        <v>8</v>
      </c>
      <c r="D136" t="s">
        <v>121</v>
      </c>
      <c r="E136" t="s">
        <v>110</v>
      </c>
      <c r="F136" t="s">
        <v>82</v>
      </c>
      <c r="G136">
        <v>15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ProjectType4.NumberInNumber InEntity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12.5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2.2730302828309759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136" s="5" cm="1">
        <f t="array" ref="O136">MIN(IF((OutputTable[GroupByKey]=OutputTable[[#This Row],[GroupByKey]]),(OutputTable[GroupByKey]=OutputTable[[#This Row],[GroupByKey]])*OutputTable[RecordedValue]))</f>
        <v>9</v>
      </c>
      <c r="P136" s="5" cm="1">
        <f t="array" ref="P136">MAX(IF((OutputTable[GroupByKey]=OutputTable[[#This Row],[GroupByKey]]),(OutputTable[GroupByKey]=OutputTable[[#This Row],[GroupByKey]])*OutputTable[RecordedValue]))</f>
        <v>16</v>
      </c>
    </row>
    <row r="137" spans="1:16" x14ac:dyDescent="0.3">
      <c r="A137" t="s">
        <v>66</v>
      </c>
      <c r="B137" t="s">
        <v>68</v>
      </c>
      <c r="C137">
        <v>8</v>
      </c>
      <c r="D137" t="s">
        <v>122</v>
      </c>
      <c r="E137" t="s">
        <v>112</v>
      </c>
      <c r="F137" t="s">
        <v>82</v>
      </c>
      <c r="G137">
        <v>14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ProjectType4.NumberOutNumber OutEntity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11.4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1.8378731669453656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137" s="5" cm="1">
        <f t="array" ref="O137">MIN(IF((OutputTable[GroupByKey]=OutputTable[[#This Row],[GroupByKey]]),(OutputTable[GroupByKey]=OutputTable[[#This Row],[GroupByKey]])*OutputTable[RecordedValue]))</f>
        <v>8</v>
      </c>
      <c r="P137" s="5" cm="1">
        <f t="array" ref="P137">MAX(IF((OutputTable[GroupByKey]=OutputTable[[#This Row],[GroupByKey]]),(OutputTable[GroupByKey]=OutputTable[[#This Row],[GroupByKey]])*OutputTable[RecordedValue]))</f>
        <v>14</v>
      </c>
    </row>
    <row r="138" spans="1:16" x14ac:dyDescent="0.3">
      <c r="A138" t="s">
        <v>66</v>
      </c>
      <c r="B138" t="s">
        <v>68</v>
      </c>
      <c r="C138">
        <v>9</v>
      </c>
      <c r="D138" t="s">
        <v>101</v>
      </c>
      <c r="E138" t="s">
        <v>102</v>
      </c>
      <c r="F138" t="s">
        <v>93</v>
      </c>
      <c r="G138">
        <v>35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35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1.7638342073763937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138" s="5" cm="1">
        <f t="array" ref="O138">MIN(IF((OutputTable[GroupByKey]=OutputTable[[#This Row],[GroupByKey]]),(OutputTable[GroupByKey]=OutputTable[[#This Row],[GroupByKey]])*OutputTable[RecordedValue]))</f>
        <v>32</v>
      </c>
      <c r="P138" s="5" cm="1">
        <f t="array" ref="P138">MAX(IF((OutputTable[GroupByKey]=OutputTable[[#This Row],[GroupByKey]]),(OutputTable[GroupByKey]=OutputTable[[#This Row],[GroupByKey]])*OutputTable[RecordedValue]))</f>
        <v>37</v>
      </c>
    </row>
    <row r="139" spans="1:16" x14ac:dyDescent="0.3">
      <c r="A139" t="s">
        <v>66</v>
      </c>
      <c r="B139" t="s">
        <v>68</v>
      </c>
      <c r="C139">
        <v>9</v>
      </c>
      <c r="D139" t="s">
        <v>103</v>
      </c>
      <c r="E139" t="s">
        <v>104</v>
      </c>
      <c r="F139" t="s">
        <v>93</v>
      </c>
      <c r="G139">
        <v>0.78922756928780502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0.83106107177752264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6.4548027001173278E-2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139" s="5" cm="1">
        <f t="array" ref="O139">MIN(IF((OutputTable[GroupByKey]=OutputTable[[#This Row],[GroupByKey]]),(OutputTable[GroupByKey]=OutputTable[[#This Row],[GroupByKey]])*OutputTable[RecordedValue]))</f>
        <v>0.70923148168898098</v>
      </c>
      <c r="P139" s="5" cm="1">
        <f t="array" ref="P139">MAX(IF((OutputTable[GroupByKey]=OutputTable[[#This Row],[GroupByKey]]),(OutputTable[GroupByKey]=OutputTable[[#This Row],[GroupByKey]])*OutputTable[RecordedValue]))</f>
        <v>0.92513911074198196</v>
      </c>
    </row>
    <row r="140" spans="1:16" x14ac:dyDescent="0.3">
      <c r="A140" t="s">
        <v>66</v>
      </c>
      <c r="B140" t="s">
        <v>68</v>
      </c>
      <c r="C140">
        <v>9</v>
      </c>
      <c r="D140" t="s">
        <v>105</v>
      </c>
      <c r="E140" t="s">
        <v>102</v>
      </c>
      <c r="F140" t="s">
        <v>93</v>
      </c>
      <c r="G140">
        <v>33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33.4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2.5905812303633931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140" s="5" cm="1">
        <f t="array" ref="O140">MIN(IF((OutputTable[GroupByKey]=OutputTable[[#This Row],[GroupByKey]]),(OutputTable[GroupByKey]=OutputTable[[#This Row],[GroupByKey]])*OutputTable[RecordedValue]))</f>
        <v>29</v>
      </c>
      <c r="P140" s="5" cm="1">
        <f t="array" ref="P140">MAX(IF((OutputTable[GroupByKey]=OutputTable[[#This Row],[GroupByKey]]),(OutputTable[GroupByKey]=OutputTable[[#This Row],[GroupByKey]])*OutputTable[RecordedValue]))</f>
        <v>37</v>
      </c>
    </row>
    <row r="141" spans="1:16" x14ac:dyDescent="0.3">
      <c r="A141" t="s">
        <v>66</v>
      </c>
      <c r="B141" t="s">
        <v>68</v>
      </c>
      <c r="C141">
        <v>9</v>
      </c>
      <c r="D141" t="s">
        <v>106</v>
      </c>
      <c r="E141" t="s">
        <v>104</v>
      </c>
      <c r="F141" t="s">
        <v>93</v>
      </c>
      <c r="G141">
        <v>0.81912589087634702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0.84520971658291411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6.1226598287413884E-2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141" s="5" cm="1">
        <f t="array" ref="O141">MIN(IF((OutputTable[GroupByKey]=OutputTable[[#This Row],[GroupByKey]]),(OutputTable[GroupByKey]=OutputTable[[#This Row],[GroupByKey]])*OutputTable[RecordedValue]))</f>
        <v>0.71728584076343305</v>
      </c>
      <c r="P141" s="5" cm="1">
        <f t="array" ref="P141">MAX(IF((OutputTable[GroupByKey]=OutputTable[[#This Row],[GroupByKey]]),(OutputTable[GroupByKey]=OutputTable[[#This Row],[GroupByKey]])*OutputTable[RecordedValue]))</f>
        <v>0.91938608785018705</v>
      </c>
    </row>
    <row r="142" spans="1:16" x14ac:dyDescent="0.3">
      <c r="A142" t="s">
        <v>66</v>
      </c>
      <c r="B142" t="s">
        <v>68</v>
      </c>
      <c r="C142">
        <v>9</v>
      </c>
      <c r="D142" t="s">
        <v>107</v>
      </c>
      <c r="E142" t="s">
        <v>102</v>
      </c>
      <c r="F142" t="s">
        <v>93</v>
      </c>
      <c r="G142">
        <v>34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s="5" cm="1">
        <f t="array" ref="K142">IFERROR(AVERAGE(IF((OutputTable[GroupByKey]=OutputTable[[#This Row],[GroupByKey]]),(OutputTable[GroupByKey]=OutputTable[[#This Row],[GroupByKey]])*OutputTable[RecordedValue])),0)</f>
        <v>32.6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2.5473297566057069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142" s="5" cm="1">
        <f t="array" ref="O142">MIN(IF((OutputTable[GroupByKey]=OutputTable[[#This Row],[GroupByKey]]),(OutputTable[GroupByKey]=OutputTable[[#This Row],[GroupByKey]])*OutputTable[RecordedValue]))</f>
        <v>29</v>
      </c>
      <c r="P142" s="5" cm="1">
        <f t="array" ref="P142">MAX(IF((OutputTable[GroupByKey]=OutputTable[[#This Row],[GroupByKey]]),(OutputTable[GroupByKey]=OutputTable[[#This Row],[GroupByKey]])*OutputTable[RecordedValue]))</f>
        <v>37</v>
      </c>
    </row>
    <row r="143" spans="1:16" x14ac:dyDescent="0.3">
      <c r="A143" t="s">
        <v>66</v>
      </c>
      <c r="B143" t="s">
        <v>68</v>
      </c>
      <c r="C143">
        <v>9</v>
      </c>
      <c r="D143" t="s">
        <v>108</v>
      </c>
      <c r="E143" t="s">
        <v>104</v>
      </c>
      <c r="F143" t="s">
        <v>93</v>
      </c>
      <c r="G143">
        <v>0.79715158082863302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s="5" cm="1">
        <f t="array" ref="K143">IFERROR(AVERAGE(IF((OutputTable[GroupByKey]=OutputTable[[#This Row],[GroupByKey]]),(OutputTable[GroupByKey]=OutputTable[[#This Row],[GroupByKey]])*OutputTable[RecordedValue])),0)</f>
        <v>0.77733493379426299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6.75490523663973E-2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143" s="5" cm="1">
        <f t="array" ref="O143">MIN(IF((OutputTable[GroupByKey]=OutputTable[[#This Row],[GroupByKey]]),(OutputTable[GroupByKey]=OutputTable[[#This Row],[GroupByKey]])*OutputTable[RecordedValue]))</f>
        <v>0.69586636126078405</v>
      </c>
      <c r="P143" s="5" cm="1">
        <f t="array" ref="P143">MAX(IF((OutputTable[GroupByKey]=OutputTable[[#This Row],[GroupByKey]]),(OutputTable[GroupByKey]=OutputTable[[#This Row],[GroupByKey]])*OutputTable[RecordedValue]))</f>
        <v>0.89372434220669095</v>
      </c>
    </row>
    <row r="144" spans="1:16" x14ac:dyDescent="0.3">
      <c r="A144" t="s">
        <v>66</v>
      </c>
      <c r="B144" t="s">
        <v>68</v>
      </c>
      <c r="C144">
        <v>9</v>
      </c>
      <c r="D144" t="s">
        <v>109</v>
      </c>
      <c r="E144" t="s">
        <v>110</v>
      </c>
      <c r="F144" t="s">
        <v>82</v>
      </c>
      <c r="G144">
        <v>49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ProjectPiece.NumberInNumber InEntity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s="5" cm="1">
        <f t="array" ref="K144">IFERROR(AVERAGE(IF((OutputTable[GroupByKey]=OutputTable[[#This Row],[GroupByKey]]),(OutputTable[GroupByKey]=OutputTable[[#This Row],[GroupByKey]])*OutputTable[RecordedValue])),0)</f>
        <v>49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" s="5" cm="1">
        <f t="array" ref="O144">MIN(IF((OutputTable[GroupByKey]=OutputTable[[#This Row],[GroupByKey]]),(OutputTable[GroupByKey]=OutputTable[[#This Row],[GroupByKey]])*OutputTable[RecordedValue]))</f>
        <v>49</v>
      </c>
      <c r="P144" s="5" cm="1">
        <f t="array" ref="P144">MAX(IF((OutputTable[GroupByKey]=OutputTable[[#This Row],[GroupByKey]]),(OutputTable[GroupByKey]=OutputTable[[#This Row],[GroupByKey]])*OutputTable[RecordedValue]))</f>
        <v>49</v>
      </c>
    </row>
    <row r="145" spans="1:16" x14ac:dyDescent="0.3">
      <c r="A145" t="s">
        <v>66</v>
      </c>
      <c r="B145" t="s">
        <v>68</v>
      </c>
      <c r="C145">
        <v>9</v>
      </c>
      <c r="D145" t="s">
        <v>111</v>
      </c>
      <c r="E145" t="s">
        <v>112</v>
      </c>
      <c r="F145" t="s">
        <v>82</v>
      </c>
      <c r="G145">
        <v>49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ProjectPiece.NumberOutNumber OutEntity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s="5" cm="1">
        <f t="array" ref="K145">IFERROR(AVERAGE(IF((OutputTable[GroupByKey]=OutputTable[[#This Row],[GroupByKey]]),(OutputTable[GroupByKey]=OutputTable[[#This Row],[GroupByKey]])*OutputTable[RecordedValue])),0)</f>
        <v>49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" s="5" cm="1">
        <f t="array" ref="O145">MIN(IF((OutputTable[GroupByKey]=OutputTable[[#This Row],[GroupByKey]]),(OutputTable[GroupByKey]=OutputTable[[#This Row],[GroupByKey]])*OutputTable[RecordedValue]))</f>
        <v>49</v>
      </c>
      <c r="P145" s="5" cm="1">
        <f t="array" ref="P145">MAX(IF((OutputTable[GroupByKey]=OutputTable[[#This Row],[GroupByKey]]),(OutputTable[GroupByKey]=OutputTable[[#This Row],[GroupByKey]])*OutputTable[RecordedValue]))</f>
        <v>49</v>
      </c>
    </row>
    <row r="146" spans="1:16" x14ac:dyDescent="0.3">
      <c r="A146" t="s">
        <v>66</v>
      </c>
      <c r="B146" t="s">
        <v>68</v>
      </c>
      <c r="C146">
        <v>9</v>
      </c>
      <c r="D146" t="s">
        <v>113</v>
      </c>
      <c r="E146" t="s">
        <v>112</v>
      </c>
      <c r="F146" t="s">
        <v>114</v>
      </c>
      <c r="G146">
        <v>43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s="5" cm="1">
        <f t="array" ref="K146">IFERROR(AVERAGE(IF((OutputTable[GroupByKey]=OutputTable[[#This Row],[GroupByKey]]),(OutputTable[GroupByKey]=OutputTable[[#This Row],[GroupByKey]])*OutputTable[RecordedValue])),0)</f>
        <v>42.6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1.0749676997731399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146" s="5" cm="1">
        <f t="array" ref="O146">MIN(IF((OutputTable[GroupByKey]=OutputTable[[#This Row],[GroupByKey]]),(OutputTable[GroupByKey]=OutputTable[[#This Row],[GroupByKey]])*OutputTable[RecordedValue]))</f>
        <v>41</v>
      </c>
      <c r="P146" s="5" cm="1">
        <f t="array" ref="P146">MAX(IF((OutputTable[GroupByKey]=OutputTable[[#This Row],[GroupByKey]]),(OutputTable[GroupByKey]=OutputTable[[#This Row],[GroupByKey]])*OutputTable[RecordedValue]))</f>
        <v>44</v>
      </c>
    </row>
    <row r="147" spans="1:16" x14ac:dyDescent="0.3">
      <c r="A147" t="s">
        <v>66</v>
      </c>
      <c r="B147" t="s">
        <v>68</v>
      </c>
      <c r="C147">
        <v>9</v>
      </c>
      <c r="D147" t="s">
        <v>115</v>
      </c>
      <c r="E147" t="s">
        <v>110</v>
      </c>
      <c r="F147" t="s">
        <v>82</v>
      </c>
      <c r="G147">
        <v>14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ProjectType1.NumberInNumber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s="5" cm="1">
        <f t="array" ref="K147">IFERROR(AVERAGE(IF((OutputTable[GroupByKey]=OutputTable[[#This Row],[GroupByKey]]),(OutputTable[GroupByKey]=OutputTable[[#This Row],[GroupByKey]])*OutputTable[RecordedValue])),0)</f>
        <v>12.5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2.9154759474226504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147" s="5" cm="1">
        <f t="array" ref="O147">MIN(IF((OutputTable[GroupByKey]=OutputTable[[#This Row],[GroupByKey]]),(OutputTable[GroupByKey]=OutputTable[[#This Row],[GroupByKey]])*OutputTable[RecordedValue]))</f>
        <v>9</v>
      </c>
      <c r="P147" s="5" cm="1">
        <f t="array" ref="P147">MAX(IF((OutputTable[GroupByKey]=OutputTable[[#This Row],[GroupByKey]]),(OutputTable[GroupByKey]=OutputTable[[#This Row],[GroupByKey]])*OutputTable[RecordedValue]))</f>
        <v>18</v>
      </c>
    </row>
    <row r="148" spans="1:16" x14ac:dyDescent="0.3">
      <c r="A148" t="s">
        <v>66</v>
      </c>
      <c r="B148" t="s">
        <v>68</v>
      </c>
      <c r="C148">
        <v>9</v>
      </c>
      <c r="D148" t="s">
        <v>116</v>
      </c>
      <c r="E148" t="s">
        <v>112</v>
      </c>
      <c r="F148" t="s">
        <v>82</v>
      </c>
      <c r="G148">
        <v>12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ProjectType1.NumberOutNumber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s="5" cm="1">
        <f t="array" ref="K148">IFERROR(AVERAGE(IF((OutputTable[GroupByKey]=OutputTable[[#This Row],[GroupByKey]]),(OutputTable[GroupByKey]=OutputTable[[#This Row],[GroupByKey]])*OutputTable[RecordedValue])),0)</f>
        <v>11.1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2.6436506745197819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148" s="5" cm="1">
        <f t="array" ref="O148">MIN(IF((OutputTable[GroupByKey]=OutputTable[[#This Row],[GroupByKey]]),(OutputTable[GroupByKey]=OutputTable[[#This Row],[GroupByKey]])*OutputTable[RecordedValue]))</f>
        <v>8</v>
      </c>
      <c r="P148" s="5" cm="1">
        <f t="array" ref="P148">MAX(IF((OutputTable[GroupByKey]=OutputTable[[#This Row],[GroupByKey]]),(OutputTable[GroupByKey]=OutputTable[[#This Row],[GroupByKey]])*OutputTable[RecordedValue]))</f>
        <v>16</v>
      </c>
    </row>
    <row r="149" spans="1:16" x14ac:dyDescent="0.3">
      <c r="A149" t="s">
        <v>66</v>
      </c>
      <c r="B149" t="s">
        <v>68</v>
      </c>
      <c r="C149">
        <v>9</v>
      </c>
      <c r="D149" t="s">
        <v>117</v>
      </c>
      <c r="E149" t="s">
        <v>110</v>
      </c>
      <c r="F149" t="s">
        <v>82</v>
      </c>
      <c r="G149">
        <v>10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ProjectType2.NumberInNumber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s="5" cm="1">
        <f t="array" ref="K149">IFERROR(AVERAGE(IF((OutputTable[GroupByKey]=OutputTable[[#This Row],[GroupByKey]]),(OutputTable[GroupByKey]=OutputTable[[#This Row],[GroupByKey]])*OutputTable[RecordedValue])),0)</f>
        <v>11.3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1.7029386365926371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149" s="5" cm="1">
        <f t="array" ref="O149">MIN(IF((OutputTable[GroupByKey]=OutputTable[[#This Row],[GroupByKey]]),(OutputTable[GroupByKey]=OutputTable[[#This Row],[GroupByKey]])*OutputTable[RecordedValue]))</f>
        <v>9</v>
      </c>
      <c r="P149" s="5" cm="1">
        <f t="array" ref="P149">MAX(IF((OutputTable[GroupByKey]=OutputTable[[#This Row],[GroupByKey]]),(OutputTable[GroupByKey]=OutputTable[[#This Row],[GroupByKey]])*OutputTable[RecordedValue]))</f>
        <v>14</v>
      </c>
    </row>
    <row r="150" spans="1:16" x14ac:dyDescent="0.3">
      <c r="A150" t="s">
        <v>66</v>
      </c>
      <c r="B150" t="s">
        <v>68</v>
      </c>
      <c r="C150">
        <v>9</v>
      </c>
      <c r="D150" t="s">
        <v>118</v>
      </c>
      <c r="E150" t="s">
        <v>112</v>
      </c>
      <c r="F150" t="s">
        <v>82</v>
      </c>
      <c r="G150">
        <v>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ProjectType2.NumberOutNumber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s="5" cm="1">
        <f t="array" ref="K150">IFERROR(AVERAGE(IF((OutputTable[GroupByKey]=OutputTable[[#This Row],[GroupByKey]]),(OutputTable[GroupByKey]=OutputTable[[#This Row],[GroupByKey]])*OutputTable[RecordedValue])),0)</f>
        <v>9.1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1.3703203194062967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150" s="5" cm="1">
        <f t="array" ref="O150">MIN(IF((OutputTable[GroupByKey]=OutputTable[[#This Row],[GroupByKey]]),(OutputTable[GroupByKey]=OutputTable[[#This Row],[GroupByKey]])*OutputTable[RecordedValue]))</f>
        <v>7</v>
      </c>
      <c r="P150" s="5" cm="1">
        <f t="array" ref="P150">MAX(IF((OutputTable[GroupByKey]=OutputTable[[#This Row],[GroupByKey]]),(OutputTable[GroupByKey]=OutputTable[[#This Row],[GroupByKey]])*OutputTable[RecordedValue]))</f>
        <v>12</v>
      </c>
    </row>
    <row r="151" spans="1:16" x14ac:dyDescent="0.3">
      <c r="A151" t="s">
        <v>66</v>
      </c>
      <c r="B151" t="s">
        <v>68</v>
      </c>
      <c r="C151">
        <v>9</v>
      </c>
      <c r="D151" t="s">
        <v>119</v>
      </c>
      <c r="E151" t="s">
        <v>110</v>
      </c>
      <c r="F151" t="s">
        <v>82</v>
      </c>
      <c r="G151">
        <v>12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ProjectType3.NumberInNumber InEntity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s="5" cm="1">
        <f t="array" ref="K151">IFERROR(AVERAGE(IF((OutputTable[GroupByKey]=OutputTable[[#This Row],[GroupByKey]]),(OutputTable[GroupByKey]=OutputTable[[#This Row],[GroupByKey]])*OutputTable[RecordedValue])),0)</f>
        <v>12.7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2.7507574714370326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151" s="5" cm="1">
        <f t="array" ref="O151">MIN(IF((OutputTable[GroupByKey]=OutputTable[[#This Row],[GroupByKey]]),(OutputTable[GroupByKey]=OutputTable[[#This Row],[GroupByKey]])*OutputTable[RecordedValue]))</f>
        <v>8</v>
      </c>
      <c r="P151" s="5" cm="1">
        <f t="array" ref="P151">MAX(IF((OutputTable[GroupByKey]=OutputTable[[#This Row],[GroupByKey]]),(OutputTable[GroupByKey]=OutputTable[[#This Row],[GroupByKey]])*OutputTable[RecordedValue]))</f>
        <v>17</v>
      </c>
    </row>
    <row r="152" spans="1:16" x14ac:dyDescent="0.3">
      <c r="A152" t="s">
        <v>66</v>
      </c>
      <c r="B152" t="s">
        <v>68</v>
      </c>
      <c r="C152">
        <v>9</v>
      </c>
      <c r="D152" t="s">
        <v>120</v>
      </c>
      <c r="E152" t="s">
        <v>112</v>
      </c>
      <c r="F152" t="s">
        <v>82</v>
      </c>
      <c r="G152">
        <v>10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ProjectType3.NumberOutNumber OutEntity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10</v>
      </c>
      <c r="K152" s="5" cm="1">
        <f t="array" ref="K152">IFERROR(AVERAGE(IF((OutputTable[GroupByKey]=OutputTable[[#This Row],[GroupByKey]]),(OutputTable[GroupByKey]=OutputTable[[#This Row],[GroupByKey]])*OutputTable[RecordedValue])),0)</f>
        <v>11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2.1081851067789197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152" s="5" cm="1">
        <f t="array" ref="O152">MIN(IF((OutputTable[GroupByKey]=OutputTable[[#This Row],[GroupByKey]]),(OutputTable[GroupByKey]=OutputTable[[#This Row],[GroupByKey]])*OutputTable[RecordedValue]))</f>
        <v>8</v>
      </c>
      <c r="P152" s="5" cm="1">
        <f t="array" ref="P152">MAX(IF((OutputTable[GroupByKey]=OutputTable[[#This Row],[GroupByKey]]),(OutputTable[GroupByKey]=OutputTable[[#This Row],[GroupByKey]])*OutputTable[RecordedValue]))</f>
        <v>14</v>
      </c>
    </row>
    <row r="153" spans="1:16" x14ac:dyDescent="0.3">
      <c r="A153" t="s">
        <v>66</v>
      </c>
      <c r="B153" t="s">
        <v>68</v>
      </c>
      <c r="C153">
        <v>9</v>
      </c>
      <c r="D153" t="s">
        <v>121</v>
      </c>
      <c r="E153" t="s">
        <v>110</v>
      </c>
      <c r="F153" t="s">
        <v>82</v>
      </c>
      <c r="G153">
        <v>13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ProjectType4.NumberInNumber InEntity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10</v>
      </c>
      <c r="K153" s="5" cm="1">
        <f t="array" ref="K153">IFERROR(AVERAGE(IF((OutputTable[GroupByKey]=OutputTable[[#This Row],[GroupByKey]]),(OutputTable[GroupByKey]=OutputTable[[#This Row],[GroupByKey]])*OutputTable[RecordedValue])),0)</f>
        <v>12.5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2.2730302828309759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153" s="5" cm="1">
        <f t="array" ref="O153">MIN(IF((OutputTable[GroupByKey]=OutputTable[[#This Row],[GroupByKey]]),(OutputTable[GroupByKey]=OutputTable[[#This Row],[GroupByKey]])*OutputTable[RecordedValue]))</f>
        <v>9</v>
      </c>
      <c r="P153" s="5" cm="1">
        <f t="array" ref="P153">MAX(IF((OutputTable[GroupByKey]=OutputTable[[#This Row],[GroupByKey]]),(OutputTable[GroupByKey]=OutputTable[[#This Row],[GroupByKey]])*OutputTable[RecordedValue]))</f>
        <v>16</v>
      </c>
    </row>
    <row r="154" spans="1:16" x14ac:dyDescent="0.3">
      <c r="A154" t="s">
        <v>66</v>
      </c>
      <c r="B154" t="s">
        <v>68</v>
      </c>
      <c r="C154">
        <v>9</v>
      </c>
      <c r="D154" t="s">
        <v>122</v>
      </c>
      <c r="E154" t="s">
        <v>112</v>
      </c>
      <c r="F154" t="s">
        <v>82</v>
      </c>
      <c r="G154">
        <v>12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ProjectType4.NumberOutNumber OutEntity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10</v>
      </c>
      <c r="K154" s="5" cm="1">
        <f t="array" ref="K154">IFERROR(AVERAGE(IF((OutputTable[GroupByKey]=OutputTable[[#This Row],[GroupByKey]]),(OutputTable[GroupByKey]=OutputTable[[#This Row],[GroupByKey]])*OutputTable[RecordedValue])),0)</f>
        <v>11.4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1.8378731669453656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154" s="5" cm="1">
        <f t="array" ref="O154">MIN(IF((OutputTable[GroupByKey]=OutputTable[[#This Row],[GroupByKey]]),(OutputTable[GroupByKey]=OutputTable[[#This Row],[GroupByKey]])*OutputTable[RecordedValue]))</f>
        <v>8</v>
      </c>
      <c r="P154" s="5" cm="1">
        <f t="array" ref="P154">MAX(IF((OutputTable[GroupByKey]=OutputTable[[#This Row],[GroupByKey]]),(OutputTable[GroupByKey]=OutputTable[[#This Row],[GroupByKey]])*OutputTable[RecordedValue]))</f>
        <v>14</v>
      </c>
    </row>
    <row r="155" spans="1:16" x14ac:dyDescent="0.3">
      <c r="A155" t="s">
        <v>66</v>
      </c>
      <c r="B155" t="s">
        <v>68</v>
      </c>
      <c r="C155">
        <v>10</v>
      </c>
      <c r="D155" t="s">
        <v>101</v>
      </c>
      <c r="E155" t="s">
        <v>102</v>
      </c>
      <c r="F155" t="s">
        <v>93</v>
      </c>
      <c r="G155">
        <v>36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10</v>
      </c>
      <c r="K155" s="5" cm="1">
        <f t="array" ref="K155">IFERROR(AVERAGE(IF((OutputTable[GroupByKey]=OutputTable[[#This Row],[GroupByKey]]),(OutputTable[GroupByKey]=OutputTable[[#This Row],[GroupByKey]])*OutputTable[RecordedValue])),0)</f>
        <v>35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1.7638342073763937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1.2617709812339966</v>
      </c>
      <c r="O155" s="5" cm="1">
        <f t="array" ref="O155">MIN(IF((OutputTable[GroupByKey]=OutputTable[[#This Row],[GroupByKey]]),(OutputTable[GroupByKey]=OutputTable[[#This Row],[GroupByKey]])*OutputTable[RecordedValue]))</f>
        <v>32</v>
      </c>
      <c r="P155" s="5" cm="1">
        <f t="array" ref="P155">MAX(IF((OutputTable[GroupByKey]=OutputTable[[#This Row],[GroupByKey]]),(OutputTable[GroupByKey]=OutputTable[[#This Row],[GroupByKey]])*OutputTable[RecordedValue]))</f>
        <v>37</v>
      </c>
    </row>
    <row r="156" spans="1:16" x14ac:dyDescent="0.3">
      <c r="A156" t="s">
        <v>66</v>
      </c>
      <c r="B156" t="s">
        <v>68</v>
      </c>
      <c r="C156">
        <v>10</v>
      </c>
      <c r="D156" t="s">
        <v>103</v>
      </c>
      <c r="E156" t="s">
        <v>104</v>
      </c>
      <c r="F156" t="s">
        <v>93</v>
      </c>
      <c r="G156">
        <v>0.85032998386021097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10</v>
      </c>
      <c r="K156" s="5" cm="1">
        <f t="array" ref="K156">IFERROR(AVERAGE(IF((OutputTable[GroupByKey]=OutputTable[[#This Row],[GroupByKey]]),(OutputTable[GroupByKey]=OutputTable[[#This Row],[GroupByKey]])*OutputTable[RecordedValue])),0)</f>
        <v>0.83106107177752264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6.4548027001173278E-2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4.617487688207024E-2</v>
      </c>
      <c r="O156" s="5" cm="1">
        <f t="array" ref="O156">MIN(IF((OutputTable[GroupByKey]=OutputTable[[#This Row],[GroupByKey]]),(OutputTable[GroupByKey]=OutputTable[[#This Row],[GroupByKey]])*OutputTable[RecordedValue]))</f>
        <v>0.70923148168898098</v>
      </c>
      <c r="P156" s="5" cm="1">
        <f t="array" ref="P156">MAX(IF((OutputTable[GroupByKey]=OutputTable[[#This Row],[GroupByKey]]),(OutputTable[GroupByKey]=OutputTable[[#This Row],[GroupByKey]])*OutputTable[RecordedValue]))</f>
        <v>0.92513911074198196</v>
      </c>
    </row>
    <row r="157" spans="1:16" x14ac:dyDescent="0.3">
      <c r="A157" t="s">
        <v>66</v>
      </c>
      <c r="B157" t="s">
        <v>68</v>
      </c>
      <c r="C157">
        <v>10</v>
      </c>
      <c r="D157" t="s">
        <v>105</v>
      </c>
      <c r="E157" t="s">
        <v>102</v>
      </c>
      <c r="F157" t="s">
        <v>93</v>
      </c>
      <c r="G157">
        <v>29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10</v>
      </c>
      <c r="K157" s="5" cm="1">
        <f t="array" ref="K157">IFERROR(AVERAGE(IF((OutputTable[GroupByKey]=OutputTable[[#This Row],[GroupByKey]]),(OutputTable[GroupByKey]=OutputTable[[#This Row],[GroupByKey]])*OutputTable[RecordedValue])),0)</f>
        <v>33.4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2.5905812303633931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1.8531901736184344</v>
      </c>
      <c r="O157" s="5" cm="1">
        <f t="array" ref="O157">MIN(IF((OutputTable[GroupByKey]=OutputTable[[#This Row],[GroupByKey]]),(OutputTable[GroupByKey]=OutputTable[[#This Row],[GroupByKey]])*OutputTable[RecordedValue]))</f>
        <v>29</v>
      </c>
      <c r="P157" s="5" cm="1">
        <f t="array" ref="P157">MAX(IF((OutputTable[GroupByKey]=OutputTable[[#This Row],[GroupByKey]]),(OutputTable[GroupByKey]=OutputTable[[#This Row],[GroupByKey]])*OutputTable[RecordedValue]))</f>
        <v>37</v>
      </c>
    </row>
    <row r="158" spans="1:16" x14ac:dyDescent="0.3">
      <c r="A158" t="s">
        <v>66</v>
      </c>
      <c r="B158" t="s">
        <v>68</v>
      </c>
      <c r="C158">
        <v>10</v>
      </c>
      <c r="D158" t="s">
        <v>106</v>
      </c>
      <c r="E158" t="s">
        <v>104</v>
      </c>
      <c r="F158" t="s">
        <v>93</v>
      </c>
      <c r="G158">
        <v>0.71728584076343305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10</v>
      </c>
      <c r="K158" s="5" cm="1">
        <f t="array" ref="K158">IFERROR(AVERAGE(IF((OutputTable[GroupByKey]=OutputTable[[#This Row],[GroupByKey]]),(OutputTable[GroupByKey]=OutputTable[[#This Row],[GroupByKey]])*OutputTable[RecordedValue])),0)</f>
        <v>0.84520971658291411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6.1226598287413884E-2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4.3798869913993184E-2</v>
      </c>
      <c r="O158" s="5" cm="1">
        <f t="array" ref="O158">MIN(IF((OutputTable[GroupByKey]=OutputTable[[#This Row],[GroupByKey]]),(OutputTable[GroupByKey]=OutputTable[[#This Row],[GroupByKey]])*OutputTable[RecordedValue]))</f>
        <v>0.71728584076343305</v>
      </c>
      <c r="P158" s="5" cm="1">
        <f t="array" ref="P158">MAX(IF((OutputTable[GroupByKey]=OutputTable[[#This Row],[GroupByKey]]),(OutputTable[GroupByKey]=OutputTable[[#This Row],[GroupByKey]])*OutputTable[RecordedValue]))</f>
        <v>0.91938608785018705</v>
      </c>
    </row>
    <row r="159" spans="1:16" x14ac:dyDescent="0.3">
      <c r="A159" t="s">
        <v>66</v>
      </c>
      <c r="B159" t="s">
        <v>68</v>
      </c>
      <c r="C159">
        <v>10</v>
      </c>
      <c r="D159" t="s">
        <v>107</v>
      </c>
      <c r="E159" t="s">
        <v>102</v>
      </c>
      <c r="F159" t="s">
        <v>93</v>
      </c>
      <c r="G159">
        <v>37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10</v>
      </c>
      <c r="K159" s="5" cm="1">
        <f t="array" ref="K159">IFERROR(AVERAGE(IF((OutputTable[GroupByKey]=OutputTable[[#This Row],[GroupByKey]]),(OutputTable[GroupByKey]=OutputTable[[#This Row],[GroupByKey]])*OutputTable[RecordedValue])),0)</f>
        <v>32.6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2.5473297566057069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1.8222499331724646</v>
      </c>
      <c r="O159" s="5" cm="1">
        <f t="array" ref="O159">MIN(IF((OutputTable[GroupByKey]=OutputTable[[#This Row],[GroupByKey]]),(OutputTable[GroupByKey]=OutputTable[[#This Row],[GroupByKey]])*OutputTable[RecordedValue]))</f>
        <v>29</v>
      </c>
      <c r="P159" s="5" cm="1">
        <f t="array" ref="P159">MAX(IF((OutputTable[GroupByKey]=OutputTable[[#This Row],[GroupByKey]]),(OutputTable[GroupByKey]=OutputTable[[#This Row],[GroupByKey]])*OutputTable[RecordedValue]))</f>
        <v>37</v>
      </c>
    </row>
    <row r="160" spans="1:16" x14ac:dyDescent="0.3">
      <c r="A160" t="s">
        <v>66</v>
      </c>
      <c r="B160" t="s">
        <v>68</v>
      </c>
      <c r="C160">
        <v>10</v>
      </c>
      <c r="D160" t="s">
        <v>108</v>
      </c>
      <c r="E160" t="s">
        <v>104</v>
      </c>
      <c r="F160" t="s">
        <v>93</v>
      </c>
      <c r="G160">
        <v>0.89372434220669095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10</v>
      </c>
      <c r="K160" s="5" cm="1">
        <f t="array" ref="K160">IFERROR(AVERAGE(IF((OutputTable[GroupByKey]=OutputTable[[#This Row],[GroupByKey]]),(OutputTable[GroupByKey]=OutputTable[[#This Row],[GroupByKey]])*OutputTable[RecordedValue])),0)</f>
        <v>0.77733493379426299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6.75490523663973E-2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4.8321681102076373E-2</v>
      </c>
      <c r="O160" s="5" cm="1">
        <f t="array" ref="O160">MIN(IF((OutputTable[GroupByKey]=OutputTable[[#This Row],[GroupByKey]]),(OutputTable[GroupByKey]=OutputTable[[#This Row],[GroupByKey]])*OutputTable[RecordedValue]))</f>
        <v>0.69586636126078405</v>
      </c>
      <c r="P160" s="5" cm="1">
        <f t="array" ref="P160">MAX(IF((OutputTable[GroupByKey]=OutputTable[[#This Row],[GroupByKey]]),(OutputTable[GroupByKey]=OutputTable[[#This Row],[GroupByKey]])*OutputTable[RecordedValue]))</f>
        <v>0.89372434220669095</v>
      </c>
    </row>
    <row r="161" spans="1:16" x14ac:dyDescent="0.3">
      <c r="A161" t="s">
        <v>66</v>
      </c>
      <c r="B161" t="s">
        <v>68</v>
      </c>
      <c r="C161">
        <v>10</v>
      </c>
      <c r="D161" t="s">
        <v>109</v>
      </c>
      <c r="E161" t="s">
        <v>110</v>
      </c>
      <c r="F161" t="s">
        <v>82</v>
      </c>
      <c r="G161">
        <v>49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ProjectPiece.NumberInNumber InEntity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10</v>
      </c>
      <c r="K161" s="5" cm="1">
        <f t="array" ref="K161">IFERROR(AVERAGE(IF((OutputTable[GroupByKey]=OutputTable[[#This Row],[GroupByKey]]),(OutputTable[GroupByKey]=OutputTable[[#This Row],[GroupByKey]])*OutputTable[RecordedValue])),0)</f>
        <v>49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" s="5" cm="1">
        <f t="array" ref="O161">MIN(IF((OutputTable[GroupByKey]=OutputTable[[#This Row],[GroupByKey]]),(OutputTable[GroupByKey]=OutputTable[[#This Row],[GroupByKey]])*OutputTable[RecordedValue]))</f>
        <v>49</v>
      </c>
      <c r="P161" s="5" cm="1">
        <f t="array" ref="P161">MAX(IF((OutputTable[GroupByKey]=OutputTable[[#This Row],[GroupByKey]]),(OutputTable[GroupByKey]=OutputTable[[#This Row],[GroupByKey]])*OutputTable[RecordedValue]))</f>
        <v>49</v>
      </c>
    </row>
    <row r="162" spans="1:16" x14ac:dyDescent="0.3">
      <c r="A162" t="s">
        <v>66</v>
      </c>
      <c r="B162" t="s">
        <v>68</v>
      </c>
      <c r="C162">
        <v>10</v>
      </c>
      <c r="D162" t="s">
        <v>111</v>
      </c>
      <c r="E162" t="s">
        <v>112</v>
      </c>
      <c r="F162" t="s">
        <v>82</v>
      </c>
      <c r="G162">
        <v>49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ProjectPiece.NumberOutNumber OutEntity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10</v>
      </c>
      <c r="K162" s="5" cm="1">
        <f t="array" ref="K162">IFERROR(AVERAGE(IF((OutputTable[GroupByKey]=OutputTable[[#This Row],[GroupByKey]]),(OutputTable[GroupByKey]=OutputTable[[#This Row],[GroupByKey]])*OutputTable[RecordedValue])),0)</f>
        <v>49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0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" s="5" cm="1">
        <f t="array" ref="O162">MIN(IF((OutputTable[GroupByKey]=OutputTable[[#This Row],[GroupByKey]]),(OutputTable[GroupByKey]=OutputTable[[#This Row],[GroupByKey]])*OutputTable[RecordedValue]))</f>
        <v>49</v>
      </c>
      <c r="P162" s="5" cm="1">
        <f t="array" ref="P162">MAX(IF((OutputTable[GroupByKey]=OutputTable[[#This Row],[GroupByKey]]),(OutputTable[GroupByKey]=OutputTable[[#This Row],[GroupByKey]])*OutputTable[RecordedValue]))</f>
        <v>49</v>
      </c>
    </row>
    <row r="163" spans="1:16" x14ac:dyDescent="0.3">
      <c r="A163" t="s">
        <v>66</v>
      </c>
      <c r="B163" t="s">
        <v>68</v>
      </c>
      <c r="C163">
        <v>10</v>
      </c>
      <c r="D163" t="s">
        <v>113</v>
      </c>
      <c r="E163" t="s">
        <v>112</v>
      </c>
      <c r="F163" t="s">
        <v>114</v>
      </c>
      <c r="G163">
        <v>44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ProjectSystem.NumberOutNumber OutSystem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10</v>
      </c>
      <c r="K163" s="5" cm="1">
        <f t="array" ref="K163">IFERROR(AVERAGE(IF((OutputTable[GroupByKey]=OutputTable[[#This Row],[GroupByKey]]),(OutputTable[GroupByKey]=OutputTable[[#This Row],[GroupByKey]])*OutputTable[RecordedValue])),0)</f>
        <v>42.6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1.0749676997731399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0.76898556772811566</v>
      </c>
      <c r="O163" s="5" cm="1">
        <f t="array" ref="O163">MIN(IF((OutputTable[GroupByKey]=OutputTable[[#This Row],[GroupByKey]]),(OutputTable[GroupByKey]=OutputTable[[#This Row],[GroupByKey]])*OutputTable[RecordedValue]))</f>
        <v>41</v>
      </c>
      <c r="P163" s="5" cm="1">
        <f t="array" ref="P163">MAX(IF((OutputTable[GroupByKey]=OutputTable[[#This Row],[GroupByKey]]),(OutputTable[GroupByKey]=OutputTable[[#This Row],[GroupByKey]])*OutputTable[RecordedValue]))</f>
        <v>44</v>
      </c>
    </row>
    <row r="164" spans="1:16" x14ac:dyDescent="0.3">
      <c r="A164" t="s">
        <v>66</v>
      </c>
      <c r="B164" t="s">
        <v>68</v>
      </c>
      <c r="C164">
        <v>10</v>
      </c>
      <c r="D164" t="s">
        <v>115</v>
      </c>
      <c r="E164" t="s">
        <v>110</v>
      </c>
      <c r="F164" t="s">
        <v>82</v>
      </c>
      <c r="G164">
        <v>18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ProjectType1.NumberInNumber InEntity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10</v>
      </c>
      <c r="K164" s="5" cm="1">
        <f t="array" ref="K164">IFERROR(AVERAGE(IF((OutputTable[GroupByKey]=OutputTable[[#This Row],[GroupByKey]]),(OutputTable[GroupByKey]=OutputTable[[#This Row],[GroupByKey]])*OutputTable[RecordedValue])),0)</f>
        <v>12.5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2.9154759474226504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2.0856058531801596</v>
      </c>
      <c r="O164" s="5" cm="1">
        <f t="array" ref="O164">MIN(IF((OutputTable[GroupByKey]=OutputTable[[#This Row],[GroupByKey]]),(OutputTable[GroupByKey]=OutputTable[[#This Row],[GroupByKey]])*OutputTable[RecordedValue]))</f>
        <v>9</v>
      </c>
      <c r="P164" s="5" cm="1">
        <f t="array" ref="P164">MAX(IF((OutputTable[GroupByKey]=OutputTable[[#This Row],[GroupByKey]]),(OutputTable[GroupByKey]=OutputTable[[#This Row],[GroupByKey]])*OutputTable[RecordedValue]))</f>
        <v>18</v>
      </c>
    </row>
    <row r="165" spans="1:16" x14ac:dyDescent="0.3">
      <c r="A165" t="s">
        <v>66</v>
      </c>
      <c r="B165" t="s">
        <v>68</v>
      </c>
      <c r="C165">
        <v>10</v>
      </c>
      <c r="D165" t="s">
        <v>116</v>
      </c>
      <c r="E165" t="s">
        <v>112</v>
      </c>
      <c r="F165" t="s">
        <v>82</v>
      </c>
      <c r="G165">
        <v>16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ProjectType1.NumberOutNumber OutEntity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10</v>
      </c>
      <c r="K165" s="5" cm="1">
        <f t="array" ref="K165">IFERROR(AVERAGE(IF((OutputTable[GroupByKey]=OutputTable[[#This Row],[GroupByKey]]),(OutputTable[GroupByKey]=OutputTable[[#This Row],[GroupByKey]])*OutputTable[RecordedValue])),0)</f>
        <v>11.1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2.6436506745197819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1.8911537669917318</v>
      </c>
      <c r="O165" s="5" cm="1">
        <f t="array" ref="O165">MIN(IF((OutputTable[GroupByKey]=OutputTable[[#This Row],[GroupByKey]]),(OutputTable[GroupByKey]=OutputTable[[#This Row],[GroupByKey]])*OutputTable[RecordedValue]))</f>
        <v>8</v>
      </c>
      <c r="P165" s="5" cm="1">
        <f t="array" ref="P165">MAX(IF((OutputTable[GroupByKey]=OutputTable[[#This Row],[GroupByKey]]),(OutputTable[GroupByKey]=OutputTable[[#This Row],[GroupByKey]])*OutputTable[RecordedValue]))</f>
        <v>16</v>
      </c>
    </row>
    <row r="166" spans="1:16" x14ac:dyDescent="0.3">
      <c r="A166" t="s">
        <v>66</v>
      </c>
      <c r="B166" t="s">
        <v>68</v>
      </c>
      <c r="C166">
        <v>10</v>
      </c>
      <c r="D166" t="s">
        <v>117</v>
      </c>
      <c r="E166" t="s">
        <v>110</v>
      </c>
      <c r="F166" t="s">
        <v>82</v>
      </c>
      <c r="G166">
        <v>11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ProjectType2.NumberInNumber InEntity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10</v>
      </c>
      <c r="K166" s="5" cm="1">
        <f t="array" ref="K166">IFERROR(AVERAGE(IF((OutputTable[GroupByKey]=OutputTable[[#This Row],[GroupByKey]]),(OutputTable[GroupByKey]=OutputTable[[#This Row],[GroupByKey]])*OutputTable[RecordedValue])),0)</f>
        <v>11.3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1.7029386365926371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1.218208914130811</v>
      </c>
      <c r="O166" s="5" cm="1">
        <f t="array" ref="O166">MIN(IF((OutputTable[GroupByKey]=OutputTable[[#This Row],[GroupByKey]]),(OutputTable[GroupByKey]=OutputTable[[#This Row],[GroupByKey]])*OutputTable[RecordedValue]))</f>
        <v>9</v>
      </c>
      <c r="P166" s="5" cm="1">
        <f t="array" ref="P166">MAX(IF((OutputTable[GroupByKey]=OutputTable[[#This Row],[GroupByKey]]),(OutputTable[GroupByKey]=OutputTable[[#This Row],[GroupByKey]])*OutputTable[RecordedValue]))</f>
        <v>14</v>
      </c>
    </row>
    <row r="167" spans="1:16" x14ac:dyDescent="0.3">
      <c r="A167" t="s">
        <v>66</v>
      </c>
      <c r="B167" t="s">
        <v>68</v>
      </c>
      <c r="C167">
        <v>10</v>
      </c>
      <c r="D167" t="s">
        <v>118</v>
      </c>
      <c r="E167" t="s">
        <v>112</v>
      </c>
      <c r="F167" t="s">
        <v>82</v>
      </c>
      <c r="G167">
        <v>9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ProjectType2.NumberOutNumber OutEntity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10</v>
      </c>
      <c r="K167" s="5" cm="1">
        <f t="array" ref="K167">IFERROR(AVERAGE(IF((OutputTable[GroupByKey]=OutputTable[[#This Row],[GroupByKey]]),(OutputTable[GroupByKey]=OutputTable[[#This Row],[GroupByKey]])*OutputTable[RecordedValue])),0)</f>
        <v>9.1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1.3703203194062967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0.98026810387922136</v>
      </c>
      <c r="O167" s="5" cm="1">
        <f t="array" ref="O167">MIN(IF((OutputTable[GroupByKey]=OutputTable[[#This Row],[GroupByKey]]),(OutputTable[GroupByKey]=OutputTable[[#This Row],[GroupByKey]])*OutputTable[RecordedValue]))</f>
        <v>7</v>
      </c>
      <c r="P167" s="5" cm="1">
        <f t="array" ref="P167">MAX(IF((OutputTable[GroupByKey]=OutputTable[[#This Row],[GroupByKey]]),(OutputTable[GroupByKey]=OutputTable[[#This Row],[GroupByKey]])*OutputTable[RecordedValue]))</f>
        <v>12</v>
      </c>
    </row>
    <row r="168" spans="1:16" x14ac:dyDescent="0.3">
      <c r="A168" t="s">
        <v>66</v>
      </c>
      <c r="B168" t="s">
        <v>68</v>
      </c>
      <c r="C168">
        <v>10</v>
      </c>
      <c r="D168" t="s">
        <v>119</v>
      </c>
      <c r="E168" t="s">
        <v>110</v>
      </c>
      <c r="F168" t="s">
        <v>82</v>
      </c>
      <c r="G168">
        <v>8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ProjectType3.NumberInNumber InEntity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10</v>
      </c>
      <c r="K168" s="5" cm="1">
        <f t="array" ref="K168">IFERROR(AVERAGE(IF((OutputTable[GroupByKey]=OutputTable[[#This Row],[GroupByKey]]),(OutputTable[GroupByKey]=OutputTable[[#This Row],[GroupByKey]])*OutputTable[RecordedValue])),0)</f>
        <v>12.7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2.7507574714370326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1.9677733538428845</v>
      </c>
      <c r="O168" s="5" cm="1">
        <f t="array" ref="O168">MIN(IF((OutputTable[GroupByKey]=OutputTable[[#This Row],[GroupByKey]]),(OutputTable[GroupByKey]=OutputTable[[#This Row],[GroupByKey]])*OutputTable[RecordedValue]))</f>
        <v>8</v>
      </c>
      <c r="P168" s="5" cm="1">
        <f t="array" ref="P168">MAX(IF((OutputTable[GroupByKey]=OutputTable[[#This Row],[GroupByKey]]),(OutputTable[GroupByKey]=OutputTable[[#This Row],[GroupByKey]])*OutputTable[RecordedValue]))</f>
        <v>17</v>
      </c>
    </row>
    <row r="169" spans="1:16" x14ac:dyDescent="0.3">
      <c r="A169" t="s">
        <v>66</v>
      </c>
      <c r="B169" t="s">
        <v>68</v>
      </c>
      <c r="C169">
        <v>10</v>
      </c>
      <c r="D169" t="s">
        <v>120</v>
      </c>
      <c r="E169" t="s">
        <v>112</v>
      </c>
      <c r="F169" t="s">
        <v>82</v>
      </c>
      <c r="G169">
        <v>8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ProjectType3.NumberOutNumber OutEntity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10</v>
      </c>
      <c r="K169" s="5" cm="1">
        <f t="array" ref="K169">IFERROR(AVERAGE(IF((OutputTable[GroupByKey]=OutputTable[[#This Row],[GroupByKey]]),(OutputTable[GroupByKey]=OutputTable[[#This Row],[GroupByKey]])*OutputTable[RecordedValue])),0)</f>
        <v>11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2.1081851067789197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1.508104775198803</v>
      </c>
      <c r="O169" s="5" cm="1">
        <f t="array" ref="O169">MIN(IF((OutputTable[GroupByKey]=OutputTable[[#This Row],[GroupByKey]]),(OutputTable[GroupByKey]=OutputTable[[#This Row],[GroupByKey]])*OutputTable[RecordedValue]))</f>
        <v>8</v>
      </c>
      <c r="P169" s="5" cm="1">
        <f t="array" ref="P169">MAX(IF((OutputTable[GroupByKey]=OutputTable[[#This Row],[GroupByKey]]),(OutputTable[GroupByKey]=OutputTable[[#This Row],[GroupByKey]])*OutputTable[RecordedValue]))</f>
        <v>14</v>
      </c>
    </row>
    <row r="170" spans="1:16" x14ac:dyDescent="0.3">
      <c r="A170" t="s">
        <v>66</v>
      </c>
      <c r="B170" t="s">
        <v>68</v>
      </c>
      <c r="C170">
        <v>10</v>
      </c>
      <c r="D170" t="s">
        <v>121</v>
      </c>
      <c r="E170" t="s">
        <v>110</v>
      </c>
      <c r="F170" t="s">
        <v>82</v>
      </c>
      <c r="G170">
        <v>12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ProjectType4.NumberInNumber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10</v>
      </c>
      <c r="K170" s="5" cm="1">
        <f t="array" ref="K170">IFERROR(AVERAGE(IF((OutputTable[GroupByKey]=OutputTable[[#This Row],[GroupByKey]]),(OutputTable[GroupByKey]=OutputTable[[#This Row],[GroupByKey]])*OutputTable[RecordedValue])),0)</f>
        <v>12.5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2.2730302828309759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1.6260279103035917</v>
      </c>
      <c r="O170" s="5" cm="1">
        <f t="array" ref="O170">MIN(IF((OutputTable[GroupByKey]=OutputTable[[#This Row],[GroupByKey]]),(OutputTable[GroupByKey]=OutputTable[[#This Row],[GroupByKey]])*OutputTable[RecordedValue]))</f>
        <v>9</v>
      </c>
      <c r="P170" s="5" cm="1">
        <f t="array" ref="P170">MAX(IF((OutputTable[GroupByKey]=OutputTable[[#This Row],[GroupByKey]]),(OutputTable[GroupByKey]=OutputTable[[#This Row],[GroupByKey]])*OutputTable[RecordedValue]))</f>
        <v>16</v>
      </c>
    </row>
    <row r="171" spans="1:16" x14ac:dyDescent="0.3">
      <c r="A171" t="s">
        <v>66</v>
      </c>
      <c r="B171" t="s">
        <v>68</v>
      </c>
      <c r="C171">
        <v>10</v>
      </c>
      <c r="D171" t="s">
        <v>122</v>
      </c>
      <c r="E171" t="s">
        <v>112</v>
      </c>
      <c r="F171" t="s">
        <v>82</v>
      </c>
      <c r="G171">
        <v>11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ProjectType4.NumberOutNumber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10</v>
      </c>
      <c r="K171" s="5" cm="1">
        <f t="array" ref="K171">IFERROR(AVERAGE(IF((OutputTable[GroupByKey]=OutputTable[[#This Row],[GroupByKey]]),(OutputTable[GroupByKey]=OutputTable[[#This Row],[GroupByKey]])*OutputTable[RecordedValue])),0)</f>
        <v>11.4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1.8378731669453656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1.3147352622725437</v>
      </c>
      <c r="O171" s="5" cm="1">
        <f t="array" ref="O171">MIN(IF((OutputTable[GroupByKey]=OutputTable[[#This Row],[GroupByKey]]),(OutputTable[GroupByKey]=OutputTable[[#This Row],[GroupByKey]])*OutputTable[RecordedValue]))</f>
        <v>8</v>
      </c>
      <c r="P171" s="5" cm="1">
        <f t="array" ref="P171">MAX(IF((OutputTable[GroupByKey]=OutputTable[[#This Row],[GroupByKey]]),(OutputTable[GroupByKey]=OutputTable[[#This Row],[GroupByKey]])*OutputTable[RecordedValue]))</f>
        <v>14</v>
      </c>
    </row>
  </sheetData>
  <phoneticPr fontId="2" type="noConversion"/>
  <conditionalFormatting sqref="I2:P171">
    <cfRule type="expression" dxfId="10" priority="2">
      <formula>MOD(ROW(),2)=0</formula>
    </cfRule>
  </conditionalFormatting>
  <conditionalFormatting sqref="N2:N17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3.6640625" bestFit="1" customWidth="1"/>
    <col min="12" max="12" width="28.77734375" bestFit="1" customWidth="1"/>
    <col min="13" max="13" width="29.44140625" bestFit="1" customWidth="1"/>
    <col min="14" max="14" width="16.109375" bestFit="1" customWidth="1"/>
    <col min="15" max="15" width="27.44140625" bestFit="1" customWidth="1"/>
    <col min="16" max="16" width="28.10937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ruben lopez</cp:lastModifiedBy>
  <cp:lastPrinted>2022-03-22T10:33:10Z</cp:lastPrinted>
  <dcterms:created xsi:type="dcterms:W3CDTF">2020-06-29T21:30:31Z</dcterms:created>
  <dcterms:modified xsi:type="dcterms:W3CDTF">2023-05-02T16:50:40Z</dcterms:modified>
</cp:coreProperties>
</file>